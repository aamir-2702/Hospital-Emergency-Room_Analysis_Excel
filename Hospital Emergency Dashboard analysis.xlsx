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Data analytics project by me2025-2026\4. Excel\4. Hospital EMERGENCY Room Dashboard(End-to-End)\"/>
    </mc:Choice>
  </mc:AlternateContent>
  <xr:revisionPtr revIDLastSave="0" documentId="13_ncr:1_{143ECEE3-BC78-4E7E-A55E-1180C9AECD77}" xr6:coauthVersionLast="47" xr6:coauthVersionMax="47" xr10:uidLastSave="{00000000-0000-0000-0000-000000000000}"/>
  <bookViews>
    <workbookView xWindow="-108" yWindow="-108" windowWidth="23256" windowHeight="12456" activeTab="1" xr2:uid="{EC4B3B7D-0B4B-4684-82C4-0A4DA5F97CDE}"/>
  </bookViews>
  <sheets>
    <sheet name="Pivot Table" sheetId="1" r:id="rId1"/>
    <sheet name="Dashboard" sheetId="2" r:id="rId2"/>
    <sheet name="Daily ER No of Patient" sheetId="3" r:id="rId3"/>
    <sheet name="Average wait time daily trend" sheetId="4" r:id="rId4"/>
    <sheet name="Satisfication score daily trend" sheetId="5" r:id="rId5"/>
  </sheets>
  <definedNames>
    <definedName name="Slicer_Date__Month">#N/A</definedName>
    <definedName name="Slicer_Date__Year">#N/A</definedName>
  </definedNames>
  <calcPr calcId="191029"/>
  <pivotCaches>
    <pivotCache cacheId="1800" r:id="rId6"/>
    <pivotCache cacheId="1803" r:id="rId7"/>
    <pivotCache cacheId="1806" r:id="rId8"/>
    <pivotCache cacheId="1809" r:id="rId9"/>
    <pivotCache cacheId="1812" r:id="rId10"/>
    <pivotCache cacheId="1815" r:id="rId11"/>
    <pivotCache cacheId="1818" r:id="rId12"/>
    <pivotCache cacheId="1821" r:id="rId13"/>
    <pivotCache cacheId="1824" r:id="rId14"/>
    <pivotCache cacheId="1827" r:id="rId15"/>
    <pivotCache cacheId="1830" r:id="rId16"/>
    <pivotCache cacheId="1833" r:id="rId17"/>
  </pivotCaches>
  <extLst>
    <ext xmlns:x14="http://schemas.microsoft.com/office/spreadsheetml/2009/9/main" uri="{876F7934-8845-4945-9796-88D515C7AA90}">
      <x14:pivotCaches>
        <pivotCache cacheId="764"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87da9d5-1fa5-4ade-b19f-1f8349668c22" name="Hospital Emergency Room Data" connection="Query - Hospital Emergency Room Data"/>
          <x15:modelTable id="Calendar_Table_6d1bf342-bc1f-4aed-af68-32b484101326"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3" i="1" l="1"/>
  <c r="N13" i="1"/>
  <c r="O12" i="1"/>
  <c r="N12" i="1"/>
  <c r="M13" i="1"/>
  <c r="M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A8A4AB-604D-45B7-89E3-DAB37C7E2FAD}" name="Query - Calendar_Table" description="Connection to the 'Calendar_Table' query in the workbook." type="100" refreshedVersion="8" minRefreshableVersion="5">
    <extLst>
      <ext xmlns:x15="http://schemas.microsoft.com/office/spreadsheetml/2010/11/main" uri="{DE250136-89BD-433C-8126-D09CA5730AF9}">
        <x15:connection id="81a16755-e2ff-44e6-bbd8-828a442494ce"/>
      </ext>
    </extLst>
  </connection>
  <connection id="2" xr16:uid="{706DFDC3-81CC-482E-B7C9-5421280F52A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1872536-2b28-4d69-b2bf-16dc473792fe"/>
      </ext>
    </extLst>
  </connection>
  <connection id="3" xr16:uid="{453BB11E-B086-4471-A804-314A8C61229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<sst xmlns="http://schemas.openxmlformats.org/spreadsheetml/2006/main" count="149" uniqueCount="70">
  <si>
    <t>Distinct Count of Patient Id</t>
  </si>
  <si>
    <t>No of Patient</t>
  </si>
  <si>
    <t>Average of Patient Waittime</t>
  </si>
  <si>
    <t>Average of Patient Satisfaction Score</t>
  </si>
  <si>
    <t>Row Labels</t>
  </si>
  <si>
    <t>Grand Total</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</si>
  <si>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</si>
  <si>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</si>
  <si>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</si>
  <si>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</si>
  <si>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</si>
  <si>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</si>
  <si>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</si>
  <si>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</si>
  <si>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</si>
  <si>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</si>
  <si>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</si>
  <si>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</si>
  <si>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</si>
  <si>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</si>
  <si>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</si>
  <si>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</si>
  <si>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</si>
  <si>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</si>
  <si>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</si>
  <si>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</si>
  <si>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</si>
  <si>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</si>
  <si>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</si>
  <si>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</si>
  <si>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</si>
  <si>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</si>
  <si>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</si>
  <si>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</si>
  <si>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</si>
  <si>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</si>
  <si>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Average waittime</t>
  </si>
  <si>
    <t>Satisfaction score daily trend</t>
  </si>
  <si>
    <t>Admitted</t>
  </si>
  <si>
    <t>Not Admitted</t>
  </si>
  <si>
    <t>Count of Patient Admission Flag</t>
  </si>
  <si>
    <t>Count of Patient Admission Flag2</t>
  </si>
  <si>
    <t>Admission Status</t>
  </si>
  <si>
    <t>% Status</t>
  </si>
  <si>
    <t>0-09</t>
  </si>
  <si>
    <t>10-19</t>
  </si>
  <si>
    <t>20-29</t>
  </si>
  <si>
    <t>30-39</t>
  </si>
  <si>
    <t>40-49</t>
  </si>
  <si>
    <t>50-59</t>
  </si>
  <si>
    <t>60-69</t>
  </si>
  <si>
    <t>70-79</t>
  </si>
  <si>
    <t>Count of Age Group</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</si>
  <si>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</si>
  <si>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</si>
  <si>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</si>
  <si>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</si>
  <si>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</si>
  <si>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</si>
  <si>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</si>
  <si>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</si>
  <si>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</si>
  <si>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</si>
  <si>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</si>
  <si>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</si>
  <si>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</si>
  <si>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</si>
  <si>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</si>
  <si>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Column Labels</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</si>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</sst>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5">
    <fill>
      <patternFill patternType="none"/>
    </fill>
    <fill>
      <patternFill patternType="gray125"/>
    </fill>
    <fill>
      <patternFill patternType="solid">
        <fgColor theme="7" tint="-0.499984740745262"/>
        <bgColor indexed="64"/>
      </patternFill>
    </fill>
    <fill>
      <patternFill patternType="solid">
        <fgColor theme="7" tint="0.399975585192419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3" borderId="0" xfId="0" applyFill="1"/>
    <xf numFmtId="0" fontId="0" fillId="0" borderId="0" xfId="0" applyAlignment="1">
      <alignment horizontal="left"/>
    </xf>
    <xf numFmtId="0" fontId="0" fillId="4" borderId="0" xfId="0" applyFill="1"/>
    <xf numFmtId="10" fontId="0" fillId="0" borderId="0" xfId="0" applyNumberFormat="1"/>
  </cellXfs>
  <cellStyles count="1">
    <cellStyle name="Normal" xfId="0" builtinId="0"/>
  </cellStyles>
  <dxfs count="498">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7"/>
        </bottom>
        <vertical/>
        <horizontal/>
      </border>
    </dxf>
    <dxf>
      <font>
        <color theme="1"/>
      </font>
      <fill>
        <patternFill>
          <bgColor theme="0" tint="-4.9989318521683403E-2"/>
        </patternFill>
      </fill>
      <border diagonalUp="0" diagonalDown="0">
        <left/>
        <right/>
        <top/>
        <bottom/>
        <vertical/>
        <horizontal/>
      </border>
    </dxf>
    <dxf>
      <numFmt numFmtId="2" formatCode="0.00"/>
    </dxf>
    <dxf>
      <numFmt numFmtId="2" formatCode="0.00"/>
    </dxf>
  </dxfs>
  <tableStyles count="1" defaultTableStyle="TableStyleMedium2" defaultPivotStyle="PivotStyleLight16">
    <tableStyle name="Hospital Emergency" pivot="0" table="0" count="10" xr9:uid="{8833289A-356C-47EC-880B-E40B225E7E95}">
      <tableStyleElement type="wholeTable" dxfId="495"/>
      <tableStyleElement type="headerRow" dxfId="49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ospital Emergenc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 analysis.xlsx]Pivot Table!PivotTable7</c:name>
    <c:fmtId val="6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6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chemeClr val="accent1">
                <a:shade val="15000"/>
              </a:schemeClr>
            </a:solidFill>
          </a:ln>
          <a:effectLst/>
        </c:spPr>
        <c:dLbl>
          <c:idx val="0"/>
          <c:tx>
            <c:rich>
              <a:bodyPr rot="0" spcFirstLastPara="1" vertOverflow="ellipsis" vert="horz" wrap="none" lIns="38100" tIns="19050" rIns="36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E145FE-7528-45E9-BA75-CD00A026017B}" type="CELLRANGE">
                  <a:rPr lang="en-US"/>
                  <a:pPr>
                    <a:defRPr/>
                  </a:pPr>
                  <a:t>[CELLRANGE]</a:t>
                </a:fld>
                <a:endParaRPr lang="en-IN"/>
              </a:p>
            </c:rich>
          </c:tx>
          <c:spPr>
            <a:noFill/>
            <a:ln>
              <a:noFill/>
            </a:ln>
            <a:effectLst/>
          </c:spPr>
          <c:txPr>
            <a:bodyPr rot="0" spcFirstLastPara="1" vertOverflow="ellipsis" vert="horz" wrap="none" lIns="38100" tIns="19050" rIns="36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w="0">
            <a:solidFill>
              <a:schemeClr val="accent1">
                <a:shade val="15000"/>
              </a:schemeClr>
            </a:solidFill>
          </a:ln>
          <a:effectLst/>
        </c:spPr>
        <c:dLbl>
          <c:idx val="0"/>
          <c:tx>
            <c:rich>
              <a:bodyPr rot="0" spcFirstLastPara="1" vertOverflow="ellipsis" vert="horz" wrap="none" lIns="38100" tIns="19050" rIns="36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7A5FD1-31A1-4737-8AC6-E2D661F0774E}" type="CELLRANGE">
                  <a:rPr lang="en-US"/>
                  <a:pPr>
                    <a:defRPr/>
                  </a:pPr>
                  <a:t>[CELLRANGE]</a:t>
                </a:fld>
                <a:endParaRPr lang="en-IN"/>
              </a:p>
            </c:rich>
          </c:tx>
          <c:spPr>
            <a:noFill/>
            <a:ln>
              <a:noFill/>
            </a:ln>
            <a:effectLst/>
          </c:spPr>
          <c:txPr>
            <a:bodyPr rot="0" spcFirstLastPara="1" vertOverflow="ellipsis" vert="horz" wrap="none" lIns="38100" tIns="19050" rIns="36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4.5573220811513382E-2"/>
          <c:y val="9.5716725168390082E-2"/>
          <c:w val="0.82817754838061508"/>
          <c:h val="0.89814814814814814"/>
        </c:manualLayout>
      </c:layout>
      <c:barChart>
        <c:barDir val="bar"/>
        <c:grouping val="clustered"/>
        <c:varyColors val="0"/>
        <c:ser>
          <c:idx val="0"/>
          <c:order val="0"/>
          <c:tx>
            <c:strRef>
              <c:f>'Pivot Table'!$O$5:$O$6</c:f>
              <c:strCache>
                <c:ptCount val="1"/>
                <c:pt idx="0">
                  <c:v>Count of Patient Admission Flag</c:v>
                </c:pt>
              </c:strCache>
            </c:strRef>
          </c:tx>
          <c:spPr>
            <a:solidFill>
              <a:schemeClr val="accent1"/>
            </a:solidFill>
            <a:ln>
              <a:noFill/>
            </a:ln>
            <a:effectLst/>
          </c:spPr>
          <c:invertIfNegative val="0"/>
          <c:dPt>
            <c:idx val="0"/>
            <c:invertIfNegative val="0"/>
            <c:bubble3D val="0"/>
            <c:spPr>
              <a:solidFill>
                <a:schemeClr val="accent1"/>
              </a:solidFill>
              <a:ln w="0">
                <a:solidFill>
                  <a:schemeClr val="accent1">
                    <a:shade val="15000"/>
                  </a:schemeClr>
                </a:solidFill>
              </a:ln>
              <a:effectLst/>
            </c:spPr>
          </c:dPt>
          <c:dPt>
            <c:idx val="1"/>
            <c:invertIfNegative val="0"/>
            <c:bubble3D val="0"/>
            <c:spPr>
              <a:solidFill>
                <a:schemeClr val="accent1"/>
              </a:solidFill>
              <a:ln w="0">
                <a:solidFill>
                  <a:schemeClr val="accent1">
                    <a:shade val="15000"/>
                  </a:schemeClr>
                </a:solidFill>
              </a:ln>
              <a:effectLst/>
            </c:spPr>
          </c:dPt>
          <c:dLbls>
            <c:spPr>
              <a:noFill/>
              <a:ln>
                <a:noFill/>
              </a:ln>
              <a:effectLst/>
            </c:spPr>
            <c:txPr>
              <a:bodyPr rot="0" spcFirstLastPara="1" vertOverflow="ellipsis" vert="horz" wrap="none" lIns="38100" tIns="19050" rIns="36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Table'!$O$5:$O$6</c:f>
              <c:strCache>
                <c:ptCount val="2"/>
                <c:pt idx="0">
                  <c:v>Admitted</c:v>
                </c:pt>
                <c:pt idx="1">
                  <c:v>Not Admitted</c:v>
                </c:pt>
              </c:strCache>
            </c:strRef>
          </c:cat>
          <c:val>
            <c:numRef>
              <c:f>'Pivot Table'!$O$5:$O$6</c:f>
              <c:numCache>
                <c:formatCode>General</c:formatCode>
                <c:ptCount val="2"/>
                <c:pt idx="0">
                  <c:v>236</c:v>
                </c:pt>
                <c:pt idx="1">
                  <c:v>230</c:v>
                </c:pt>
              </c:numCache>
            </c:numRef>
          </c:val>
          <c:extLst>
            <c:ext xmlns:c16="http://schemas.microsoft.com/office/drawing/2014/chart" uri="{C3380CC4-5D6E-409C-BE32-E72D297353CC}">
              <c16:uniqueId val="{00000007-7D99-4CB6-B1FF-5802CA66BF0A}"/>
            </c:ext>
          </c:extLst>
        </c:ser>
        <c:ser>
          <c:idx val="1"/>
          <c:order val="1"/>
          <c:tx>
            <c:strRef>
              <c:f>'Pivot Table'!$O$5:$O$6</c:f>
              <c:strCache>
                <c:ptCount val="1"/>
                <c:pt idx="0">
                  <c:v>Count of Patient Admission Flag2</c:v>
                </c:pt>
              </c:strCache>
            </c:strRef>
          </c:tx>
          <c:spPr>
            <a:solidFill>
              <a:schemeClr val="accent2"/>
            </a:solidFill>
            <a:ln>
              <a:noFill/>
            </a:ln>
            <a:effectLst/>
          </c:spPr>
          <c:invertIfNegative val="0"/>
          <c:cat>
            <c:strRef>
              <c:f>'Pivot Table'!$O$5:$O$6</c:f>
              <c:strCache>
                <c:ptCount val="2"/>
                <c:pt idx="0">
                  <c:v>Admitted</c:v>
                </c:pt>
                <c:pt idx="1">
                  <c:v>Not Admitted</c:v>
                </c:pt>
              </c:strCache>
            </c:strRef>
          </c:cat>
          <c:val>
            <c:numRef>
              <c:f>'Pivot Table'!$O$5:$O$6</c:f>
              <c:numCache>
                <c:formatCode>0.00%</c:formatCode>
                <c:ptCount val="2"/>
                <c:pt idx="0">
                  <c:v>0.50643776824034337</c:v>
                </c:pt>
                <c:pt idx="1">
                  <c:v>0.49356223175965663</c:v>
                </c:pt>
              </c:numCache>
            </c:numRef>
          </c:val>
          <c:extLst>
            <c:ext xmlns:c16="http://schemas.microsoft.com/office/drawing/2014/chart" uri="{C3380CC4-5D6E-409C-BE32-E72D297353CC}">
              <c16:uniqueId val="{00000008-7D99-4CB6-B1FF-5802CA66BF0A}"/>
            </c:ext>
          </c:extLst>
        </c:ser>
        <c:dLbls>
          <c:showLegendKey val="0"/>
          <c:showVal val="0"/>
          <c:showCatName val="0"/>
          <c:showSerName val="0"/>
          <c:showPercent val="0"/>
          <c:showBubbleSize val="0"/>
        </c:dLbls>
        <c:gapWidth val="255"/>
        <c:axId val="1975176847"/>
        <c:axId val="1975174927"/>
      </c:barChart>
      <c:catAx>
        <c:axId val="1975176847"/>
        <c:scaling>
          <c:orientation val="minMax"/>
        </c:scaling>
        <c:delete val="1"/>
        <c:axPos val="l"/>
        <c:numFmt formatCode="General" sourceLinked="1"/>
        <c:majorTickMark val="none"/>
        <c:minorTickMark val="none"/>
        <c:tickLblPos val="nextTo"/>
        <c:crossAx val="1975174927"/>
        <c:crosses val="autoZero"/>
        <c:auto val="1"/>
        <c:lblAlgn val="ctr"/>
        <c:lblOffset val="100"/>
        <c:noMultiLvlLbl val="0"/>
      </c:catAx>
      <c:valAx>
        <c:axId val="1975174927"/>
        <c:scaling>
          <c:orientation val="minMax"/>
        </c:scaling>
        <c:delete val="1"/>
        <c:axPos val="b"/>
        <c:numFmt formatCode="General" sourceLinked="1"/>
        <c:majorTickMark val="none"/>
        <c:minorTickMark val="none"/>
        <c:tickLblPos val="nextTo"/>
        <c:crossAx val="197517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 analysis.xlsx]Pivot Table!PivotTable4</c:name>
    <c:fmtId val="1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lumMod val="60000"/>
              <a:lumOff val="40000"/>
            </a:schemeClr>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4715447154471545E-2"/>
          <c:y val="0"/>
          <c:w val="0.91056910569105687"/>
          <c:h val="1"/>
        </c:manualLayout>
      </c:layout>
      <c:areaChart>
        <c:grouping val="standard"/>
        <c:varyColors val="0"/>
        <c:ser>
          <c:idx val="0"/>
          <c:order val="0"/>
          <c:tx>
            <c:strRef>
              <c:f>'Pivot Table'!$E$4</c:f>
              <c:strCache>
                <c:ptCount val="1"/>
                <c:pt idx="0">
                  <c:v>Total</c:v>
                </c:pt>
              </c:strCache>
            </c:strRef>
          </c:tx>
          <c:spPr>
            <a:solidFill>
              <a:schemeClr val="accent1">
                <a:lumMod val="60000"/>
                <a:lumOff val="40000"/>
              </a:schemeClr>
            </a:solidFill>
            <a:ln w="25400">
              <a:noFill/>
            </a:ln>
            <a:effectLst/>
          </c:spPr>
          <c:cat>
            <c:strRef>
              <c:f>'Pivot Table'!$D$5:$D$35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Table'!$E$5:$E$35</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B-24E1-4876-812B-EB8A09405370}"/>
            </c:ext>
          </c:extLst>
        </c:ser>
        <c:dLbls>
          <c:showLegendKey val="0"/>
          <c:showVal val="0"/>
          <c:showCatName val="0"/>
          <c:showSerName val="0"/>
          <c:showPercent val="0"/>
          <c:showBubbleSize val="0"/>
        </c:dLbls>
        <c:axId val="1967955615"/>
        <c:axId val="1967955135"/>
      </c:areaChart>
      <c:catAx>
        <c:axId val="1967955615"/>
        <c:scaling>
          <c:orientation val="minMax"/>
        </c:scaling>
        <c:delete val="1"/>
        <c:axPos val="b"/>
        <c:numFmt formatCode="General" sourceLinked="1"/>
        <c:majorTickMark val="out"/>
        <c:minorTickMark val="none"/>
        <c:tickLblPos val="nextTo"/>
        <c:crossAx val="1967955135"/>
        <c:crosses val="autoZero"/>
        <c:auto val="1"/>
        <c:lblAlgn val="ctr"/>
        <c:lblOffset val="100"/>
        <c:noMultiLvlLbl val="0"/>
      </c:catAx>
      <c:valAx>
        <c:axId val="1967955135"/>
        <c:scaling>
          <c:orientation val="minMax"/>
        </c:scaling>
        <c:delete val="1"/>
        <c:axPos val="l"/>
        <c:numFmt formatCode="General" sourceLinked="1"/>
        <c:majorTickMark val="none"/>
        <c:minorTickMark val="none"/>
        <c:tickLblPos val="nextTo"/>
        <c:crossAx val="1967955615"/>
        <c:crosses val="autoZero"/>
        <c:crossBetween val="midCat"/>
      </c:valAx>
      <c:spPr>
        <a:noFill/>
        <a:ln>
          <a:noFill/>
        </a:ln>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 analysis.xlsx]Pivot Table!PivotTable5</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576497558058403E-3"/>
          <c:y val="6.9807325220711145E-3"/>
          <c:w val="0.99474226332173599"/>
          <c:h val="0.97247219097612803"/>
        </c:manualLayout>
      </c:layout>
      <c:areaChart>
        <c:grouping val="standard"/>
        <c:varyColors val="0"/>
        <c:ser>
          <c:idx val="0"/>
          <c:order val="0"/>
          <c:tx>
            <c:strRef>
              <c:f>'Pivot Table'!$H$4</c:f>
              <c:strCache>
                <c:ptCount val="1"/>
                <c:pt idx="0">
                  <c:v>Total</c:v>
                </c:pt>
              </c:strCache>
            </c:strRef>
          </c:tx>
          <c:spPr>
            <a:solidFill>
              <a:schemeClr val="accent4">
                <a:lumMod val="60000"/>
                <a:lumOff val="40000"/>
              </a:schemeClr>
            </a:solidFill>
            <a:ln w="25400">
              <a:noFill/>
            </a:ln>
            <a:effectLst/>
          </c:spPr>
          <c:cat>
            <c:strRef>
              <c:f>'Pivot Table'!$G$5:$G$35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Table'!$H$5:$H$35</c:f>
              <c:numCache>
                <c:formatCode>General</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3-5083-4C41-933C-E10192F371F6}"/>
            </c:ext>
          </c:extLst>
        </c:ser>
        <c:dLbls>
          <c:showLegendKey val="0"/>
          <c:showVal val="0"/>
          <c:showCatName val="0"/>
          <c:showSerName val="0"/>
          <c:showPercent val="0"/>
          <c:showBubbleSize val="0"/>
        </c:dLbls>
        <c:axId val="1500675823"/>
        <c:axId val="2132109279"/>
      </c:areaChart>
      <c:catAx>
        <c:axId val="1500675823"/>
        <c:scaling>
          <c:orientation val="minMax"/>
        </c:scaling>
        <c:delete val="1"/>
        <c:axPos val="b"/>
        <c:numFmt formatCode="General" sourceLinked="1"/>
        <c:majorTickMark val="out"/>
        <c:minorTickMark val="none"/>
        <c:tickLblPos val="nextTo"/>
        <c:crossAx val="2132109279"/>
        <c:crosses val="autoZero"/>
        <c:auto val="1"/>
        <c:lblAlgn val="ctr"/>
        <c:lblOffset val="100"/>
        <c:noMultiLvlLbl val="0"/>
      </c:catAx>
      <c:valAx>
        <c:axId val="2132109279"/>
        <c:scaling>
          <c:orientation val="minMax"/>
        </c:scaling>
        <c:delete val="1"/>
        <c:axPos val="l"/>
        <c:numFmt formatCode="General" sourceLinked="1"/>
        <c:majorTickMark val="none"/>
        <c:minorTickMark val="none"/>
        <c:tickLblPos val="nextTo"/>
        <c:crossAx val="15006758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 analysis.xlsx]Pivot Table!PivotTable6</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175021674326909E-2"/>
          <c:y val="1.8518518518518517E-2"/>
          <c:w val="0.98682497832567306"/>
          <c:h val="0.94444444444444442"/>
        </c:manualLayout>
      </c:layout>
      <c:areaChart>
        <c:grouping val="standard"/>
        <c:varyColors val="0"/>
        <c:ser>
          <c:idx val="0"/>
          <c:order val="0"/>
          <c:tx>
            <c:strRef>
              <c:f>'Pivot Table'!$K$4</c:f>
              <c:strCache>
                <c:ptCount val="1"/>
                <c:pt idx="0">
                  <c:v>Total</c:v>
                </c:pt>
              </c:strCache>
            </c:strRef>
          </c:tx>
          <c:spPr>
            <a:solidFill>
              <a:schemeClr val="accent1">
                <a:lumMod val="60000"/>
                <a:lumOff val="40000"/>
              </a:schemeClr>
            </a:solidFill>
            <a:ln w="25400">
              <a:noFill/>
            </a:ln>
            <a:effectLst/>
          </c:spPr>
          <c:cat>
            <c:strRef>
              <c:f>'Pivot Table'!$J$5:$J$34</c:f>
              <c:strCache>
                <c:ptCount val="29"/>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strCache>
            </c:strRef>
          </c:cat>
          <c:val>
            <c:numRef>
              <c:f>'Pivot Table'!$K$5:$K$34</c:f>
              <c:numCache>
                <c:formatCode>General</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3-E069-4382-A511-49ED5FF8F42B}"/>
            </c:ext>
          </c:extLst>
        </c:ser>
        <c:dLbls>
          <c:showLegendKey val="0"/>
          <c:showVal val="0"/>
          <c:showCatName val="0"/>
          <c:showSerName val="0"/>
          <c:showPercent val="0"/>
          <c:showBubbleSize val="0"/>
        </c:dLbls>
        <c:axId val="1407691567"/>
        <c:axId val="1407692047"/>
      </c:areaChart>
      <c:catAx>
        <c:axId val="1407691567"/>
        <c:scaling>
          <c:orientation val="minMax"/>
        </c:scaling>
        <c:delete val="1"/>
        <c:axPos val="b"/>
        <c:numFmt formatCode="General" sourceLinked="1"/>
        <c:majorTickMark val="out"/>
        <c:minorTickMark val="none"/>
        <c:tickLblPos val="nextTo"/>
        <c:crossAx val="1407692047"/>
        <c:crosses val="autoZero"/>
        <c:auto val="1"/>
        <c:lblAlgn val="ctr"/>
        <c:lblOffset val="100"/>
        <c:noMultiLvlLbl val="0"/>
      </c:catAx>
      <c:valAx>
        <c:axId val="1407692047"/>
        <c:scaling>
          <c:orientation val="minMax"/>
        </c:scaling>
        <c:delete val="1"/>
        <c:axPos val="l"/>
        <c:numFmt formatCode="General" sourceLinked="1"/>
        <c:majorTickMark val="none"/>
        <c:minorTickMark val="none"/>
        <c:tickLblPos val="nextTo"/>
        <c:crossAx val="1407691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 analysis.xlsx]Pivot Table!PivotTable8</c:name>
    <c:fmtId val="7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712372433808292E-3"/>
          <c:y val="0"/>
          <c:w val="0.99211369349224099"/>
          <c:h val="0.86574328710602921"/>
        </c:manualLayout>
      </c:layout>
      <c:barChart>
        <c:barDir val="col"/>
        <c:grouping val="clustered"/>
        <c:varyColors val="0"/>
        <c:ser>
          <c:idx val="0"/>
          <c:order val="0"/>
          <c:tx>
            <c:strRef>
              <c:f>'Pivot Table'!$N$16</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Table'!$M$17:$M$25</c:f>
              <c:strCache>
                <c:ptCount val="8"/>
                <c:pt idx="0">
                  <c:v>0-09</c:v>
                </c:pt>
                <c:pt idx="1">
                  <c:v>10-19</c:v>
                </c:pt>
                <c:pt idx="2">
                  <c:v>20-29</c:v>
                </c:pt>
                <c:pt idx="3">
                  <c:v>30-39</c:v>
                </c:pt>
                <c:pt idx="4">
                  <c:v>40-49</c:v>
                </c:pt>
                <c:pt idx="5">
                  <c:v>50-59</c:v>
                </c:pt>
                <c:pt idx="6">
                  <c:v>60-69</c:v>
                </c:pt>
                <c:pt idx="7">
                  <c:v>70-79</c:v>
                </c:pt>
              </c:strCache>
            </c:strRef>
          </c:cat>
          <c:val>
            <c:numRef>
              <c:f>'Pivot Table'!$N$17:$N$25</c:f>
              <c:numCache>
                <c:formatCode>General</c:formatCode>
                <c:ptCount val="8"/>
                <c:pt idx="0">
                  <c:v>58</c:v>
                </c:pt>
                <c:pt idx="1">
                  <c:v>61</c:v>
                </c:pt>
                <c:pt idx="2">
                  <c:v>64</c:v>
                </c:pt>
                <c:pt idx="3">
                  <c:v>64</c:v>
                </c:pt>
                <c:pt idx="4">
                  <c:v>65</c:v>
                </c:pt>
                <c:pt idx="5">
                  <c:v>52</c:v>
                </c:pt>
                <c:pt idx="6">
                  <c:v>57</c:v>
                </c:pt>
                <c:pt idx="7">
                  <c:v>45</c:v>
                </c:pt>
              </c:numCache>
            </c:numRef>
          </c:val>
          <c:extLst>
            <c:ext xmlns:c16="http://schemas.microsoft.com/office/drawing/2014/chart" uri="{C3380CC4-5D6E-409C-BE32-E72D297353CC}">
              <c16:uniqueId val="{00000003-4C8B-4084-9746-811953EA50A8}"/>
            </c:ext>
          </c:extLst>
        </c:ser>
        <c:dLbls>
          <c:showLegendKey val="0"/>
          <c:showVal val="0"/>
          <c:showCatName val="0"/>
          <c:showSerName val="0"/>
          <c:showPercent val="0"/>
          <c:showBubbleSize val="0"/>
        </c:dLbls>
        <c:gapWidth val="219"/>
        <c:overlap val="-27"/>
        <c:axId val="340870720"/>
        <c:axId val="340869280"/>
      </c:barChart>
      <c:catAx>
        <c:axId val="3408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69280"/>
        <c:crosses val="autoZero"/>
        <c:auto val="1"/>
        <c:lblAlgn val="ctr"/>
        <c:lblOffset val="100"/>
        <c:noMultiLvlLbl val="0"/>
      </c:catAx>
      <c:valAx>
        <c:axId val="340869280"/>
        <c:scaling>
          <c:orientation val="minMax"/>
        </c:scaling>
        <c:delete val="1"/>
        <c:axPos val="l"/>
        <c:numFmt formatCode="General" sourceLinked="1"/>
        <c:majorTickMark val="none"/>
        <c:minorTickMark val="none"/>
        <c:tickLblPos val="nextTo"/>
        <c:crossAx val="34087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 analysis.xlsx]Pivot Table!PivotTable9</c:name>
    <c:fmtId val="8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0F0"/>
          </a:solidFill>
          <a:ln>
            <a:noFill/>
          </a:ln>
          <a:effectLst>
            <a:outerShdw blurRad="50800" dist="38100" dir="2700000" algn="tl" rotWithShape="0">
              <a:prstClr val="black">
                <a:alpha val="40000"/>
              </a:prstClr>
            </a:outerShdw>
          </a:effectLst>
        </c:spPr>
      </c:pivotFmt>
      <c:pivotFmt>
        <c:idx val="6"/>
        <c:spPr>
          <a:solidFill>
            <a:schemeClr val="accent1"/>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0.1811825048586484"/>
          <c:y val="0.19392407553610347"/>
          <c:w val="0.58697631784576532"/>
          <c:h val="0.74852831837379163"/>
        </c:manualLayout>
      </c:layout>
      <c:pieChart>
        <c:varyColors val="1"/>
        <c:ser>
          <c:idx val="0"/>
          <c:order val="0"/>
          <c:tx>
            <c:strRef>
              <c:f>'Pivot Table'!$Q$16</c:f>
              <c:strCache>
                <c:ptCount val="1"/>
                <c:pt idx="0">
                  <c:v>Total</c:v>
                </c:pt>
              </c:strCache>
            </c:strRef>
          </c:tx>
          <c:spPr>
            <a:effectLst>
              <a:outerShdw blurRad="50800" dist="38100" dir="2700000" algn="tl" rotWithShape="0">
                <a:prstClr val="black">
                  <a:alpha val="40000"/>
                </a:prstClr>
              </a:outerShdw>
            </a:effectLst>
          </c:spPr>
          <c:dPt>
            <c:idx val="0"/>
            <c:bubble3D val="0"/>
            <c:spPr>
              <a:solidFill>
                <a:srgbClr val="00B0F0"/>
              </a:solidFill>
              <a:ln>
                <a:noFill/>
              </a:ln>
              <a:effectLst>
                <a:outerShdw blurRad="50800" dist="38100" dir="2700000" algn="tl" rotWithShape="0">
                  <a:prstClr val="black">
                    <a:alpha val="40000"/>
                  </a:prstClr>
                </a:outerShdw>
              </a:effectLst>
            </c:spPr>
          </c:dPt>
          <c:dPt>
            <c:idx val="1"/>
            <c:bubble3D val="0"/>
            <c:spPr>
              <a:solidFill>
                <a:schemeClr val="accent2"/>
              </a:solidFill>
              <a:ln>
                <a:noFill/>
              </a:ln>
              <a:effectLst>
                <a:outerShdw blurRad="50800" dist="38100" dir="2700000" algn="tl" rotWithShape="0">
                  <a:prstClr val="black">
                    <a:alpha val="40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Table'!$P$17:$P$19</c:f>
              <c:strCache>
                <c:ptCount val="2"/>
                <c:pt idx="0">
                  <c:v>Delay</c:v>
                </c:pt>
                <c:pt idx="1">
                  <c:v>Ontime</c:v>
                </c:pt>
              </c:strCache>
            </c:strRef>
          </c:cat>
          <c:val>
            <c:numRef>
              <c:f>'Pivot Table'!$Q$17:$Q$19</c:f>
              <c:numCache>
                <c:formatCode>General</c:formatCode>
                <c:ptCount val="2"/>
                <c:pt idx="0">
                  <c:v>278</c:v>
                </c:pt>
                <c:pt idx="1">
                  <c:v>188</c:v>
                </c:pt>
              </c:numCache>
            </c:numRef>
          </c:val>
          <c:extLst>
            <c:ext xmlns:c16="http://schemas.microsoft.com/office/drawing/2014/chart" uri="{C3380CC4-5D6E-409C-BE32-E72D297353CC}">
              <c16:uniqueId val="{00000007-E565-43EA-8C4B-83D51E4FE64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4952153302265789"/>
          <c:y val="1.2163756283232123E-2"/>
          <c:w val="0.68032861499249009"/>
          <c:h val="0.11689049016474416"/>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 analysis.xlsx]Pivot Table!PivotTable10</c:name>
    <c:fmtId val="9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0F0"/>
          </a:solidFill>
          <a:ln w="0">
            <a:noFill/>
          </a:ln>
          <a:effectLst>
            <a:outerShdw blurRad="50800" dist="38100" dir="2700000" algn="tl" rotWithShape="0">
              <a:prstClr val="black">
                <a:alpha val="40000"/>
              </a:prstClr>
            </a:outerShdw>
          </a:effectLst>
        </c:spPr>
      </c:pivotFmt>
      <c:pivotFmt>
        <c:idx val="6"/>
        <c:spPr>
          <a:solidFill>
            <a:schemeClr val="accent1"/>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0.19947814621763829"/>
          <c:y val="0.16443859893619489"/>
          <c:w val="0.60215366261035552"/>
          <c:h val="0.73270910273383971"/>
        </c:manualLayout>
      </c:layout>
      <c:doughnutChart>
        <c:varyColors val="1"/>
        <c:ser>
          <c:idx val="0"/>
          <c:order val="0"/>
          <c:tx>
            <c:strRef>
              <c:f>'Pivot Table'!$Q$22</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rgbClr val="00B0F0"/>
              </a:solidFill>
              <a:ln w="0">
                <a:noFill/>
              </a:ln>
              <a:effectLst>
                <a:outerShdw blurRad="50800" dist="38100" dir="2700000" algn="tl" rotWithShape="0">
                  <a:prstClr val="black">
                    <a:alpha val="40000"/>
                  </a:prstClr>
                </a:outerShdw>
              </a:effectLst>
            </c:spPr>
          </c:dPt>
          <c:dPt>
            <c:idx val="1"/>
            <c:bubble3D val="0"/>
            <c:spPr>
              <a:solidFill>
                <a:schemeClr val="accent2"/>
              </a:solidFill>
              <a:ln>
                <a:noFill/>
              </a:ln>
              <a:effectLst>
                <a:outerShdw blurRad="50800" dist="38100" dir="2700000" algn="tl" rotWithShape="0">
                  <a:prstClr val="black">
                    <a:alpha val="40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Table'!$P$23:$P$25</c:f>
              <c:strCache>
                <c:ptCount val="2"/>
                <c:pt idx="0">
                  <c:v>Female</c:v>
                </c:pt>
                <c:pt idx="1">
                  <c:v>Male</c:v>
                </c:pt>
              </c:strCache>
            </c:strRef>
          </c:cat>
          <c:val>
            <c:numRef>
              <c:f>'Pivot Table'!$Q$23:$Q$25</c:f>
              <c:numCache>
                <c:formatCode>General</c:formatCode>
                <c:ptCount val="2"/>
                <c:pt idx="0">
                  <c:v>237</c:v>
                </c:pt>
                <c:pt idx="1">
                  <c:v>229</c:v>
                </c:pt>
              </c:numCache>
            </c:numRef>
          </c:val>
          <c:extLst>
            <c:ext xmlns:c16="http://schemas.microsoft.com/office/drawing/2014/chart" uri="{C3380CC4-5D6E-409C-BE32-E72D297353CC}">
              <c16:uniqueId val="{00000007-F8A0-4259-A638-8F0EAA4943E8}"/>
            </c:ext>
          </c:extLst>
        </c:ser>
        <c:dLbls>
          <c:showLegendKey val="0"/>
          <c:showVal val="0"/>
          <c:showCatName val="0"/>
          <c:showSerName val="0"/>
          <c:showPercent val="1"/>
          <c:showBubbleSize val="0"/>
          <c:showLeaderLines val="1"/>
        </c:dLbls>
        <c:firstSliceAng val="0"/>
        <c:holeSize val="53"/>
      </c:doughnutChart>
      <c:spPr>
        <a:noFill/>
        <a:ln>
          <a:noFill/>
        </a:ln>
        <a:effectLst/>
      </c:spPr>
    </c:plotArea>
    <c:legend>
      <c:legendPos val="r"/>
      <c:layout>
        <c:manualLayout>
          <c:xMode val="edge"/>
          <c:yMode val="edge"/>
          <c:x val="0.1096376597291536"/>
          <c:y val="4.9922995162794692E-3"/>
          <c:w val="0.70256891304079949"/>
          <c:h val="0.164757451003903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 analysis.xlsx]Pivot Table!PivotTable11</c:name>
    <c:fmtId val="9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73998621297948"/>
          <c:y val="2.3869601527081841E-2"/>
          <c:w val="0.76135245533133811"/>
          <c:h val="0.94859307359307354"/>
        </c:manualLayout>
      </c:layout>
      <c:barChart>
        <c:barDir val="bar"/>
        <c:grouping val="clustered"/>
        <c:varyColors val="0"/>
        <c:ser>
          <c:idx val="0"/>
          <c:order val="0"/>
          <c:tx>
            <c:strRef>
              <c:f>'Pivot Table'!$N$28</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Table'!$M$29:$M$37</c:f>
              <c:strCache>
                <c:ptCount val="8"/>
                <c:pt idx="0">
                  <c:v>Renal</c:v>
                </c:pt>
                <c:pt idx="1">
                  <c:v>Cardiology</c:v>
                </c:pt>
                <c:pt idx="2">
                  <c:v>Neurology</c:v>
                </c:pt>
                <c:pt idx="3">
                  <c:v>Gastroenterology</c:v>
                </c:pt>
                <c:pt idx="4">
                  <c:v>Physiotherapy</c:v>
                </c:pt>
                <c:pt idx="5">
                  <c:v>Orthopedics</c:v>
                </c:pt>
                <c:pt idx="6">
                  <c:v>General Practice</c:v>
                </c:pt>
                <c:pt idx="7">
                  <c:v>None</c:v>
                </c:pt>
              </c:strCache>
            </c:strRef>
          </c:cat>
          <c:val>
            <c:numRef>
              <c:f>'Pivot Table'!$N$29:$N$37</c:f>
              <c:numCache>
                <c:formatCode>General</c:formatCode>
                <c:ptCount val="8"/>
                <c:pt idx="0">
                  <c:v>6</c:v>
                </c:pt>
                <c:pt idx="1">
                  <c:v>9</c:v>
                </c:pt>
                <c:pt idx="2">
                  <c:v>10</c:v>
                </c:pt>
                <c:pt idx="3">
                  <c:v>11</c:v>
                </c:pt>
                <c:pt idx="4">
                  <c:v>12</c:v>
                </c:pt>
                <c:pt idx="5">
                  <c:v>47</c:v>
                </c:pt>
                <c:pt idx="6">
                  <c:v>98</c:v>
                </c:pt>
                <c:pt idx="7">
                  <c:v>273</c:v>
                </c:pt>
              </c:numCache>
            </c:numRef>
          </c:val>
          <c:extLst>
            <c:ext xmlns:c16="http://schemas.microsoft.com/office/drawing/2014/chart" uri="{C3380CC4-5D6E-409C-BE32-E72D297353CC}">
              <c16:uniqueId val="{00000003-D3CE-4824-B5FB-BF45093046E6}"/>
            </c:ext>
          </c:extLst>
        </c:ser>
        <c:dLbls>
          <c:showLegendKey val="0"/>
          <c:showVal val="0"/>
          <c:showCatName val="0"/>
          <c:showSerName val="0"/>
          <c:showPercent val="0"/>
          <c:showBubbleSize val="0"/>
        </c:dLbls>
        <c:gapWidth val="76"/>
        <c:axId val="1975154287"/>
        <c:axId val="1975147567"/>
      </c:barChart>
      <c:catAx>
        <c:axId val="197515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147567"/>
        <c:crosses val="autoZero"/>
        <c:auto val="1"/>
        <c:lblAlgn val="ctr"/>
        <c:lblOffset val="100"/>
        <c:noMultiLvlLbl val="0"/>
      </c:catAx>
      <c:valAx>
        <c:axId val="1975147567"/>
        <c:scaling>
          <c:orientation val="minMax"/>
        </c:scaling>
        <c:delete val="1"/>
        <c:axPos val="b"/>
        <c:numFmt formatCode="General" sourceLinked="1"/>
        <c:majorTickMark val="none"/>
        <c:minorTickMark val="none"/>
        <c:tickLblPos val="nextTo"/>
        <c:crossAx val="197515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 analysis.xlsx]Pivot Table!PivotTable4</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0.15898603602999373"/>
          <c:w val="0.93888888888888888"/>
          <c:h val="0.67208457971714353"/>
        </c:manualLayout>
      </c:layout>
      <c:areaChart>
        <c:grouping val="standard"/>
        <c:varyColors val="0"/>
        <c:ser>
          <c:idx val="0"/>
          <c:order val="0"/>
          <c:tx>
            <c:strRef>
              <c:f>'Pivot Table'!$E$4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Table'!$D$5:$D$35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Table'!$E$5:$E$35</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2-D8FF-4667-AC8F-DC1FF48F1C1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5827280"/>
        <c:axId val="75825360"/>
      </c:areaChart>
      <c:catAx>
        <c:axId val="758272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825360"/>
        <c:crosses val="autoZero"/>
        <c:auto val="1"/>
        <c:lblAlgn val="ctr"/>
        <c:lblOffset val="100"/>
        <c:noMultiLvlLbl val="0"/>
      </c:catAx>
      <c:valAx>
        <c:axId val="75825360"/>
        <c:scaling>
          <c:orientation val="minMax"/>
        </c:scaling>
        <c:delete val="1"/>
        <c:axPos val="l"/>
        <c:numFmt formatCode="General" sourceLinked="1"/>
        <c:majorTickMark val="out"/>
        <c:minorTickMark val="none"/>
        <c:tickLblPos val="nextTo"/>
        <c:crossAx val="758272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 analysis.xlsx]Pivot Table!PivotTable5</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544275951890278E-2"/>
          <c:y val="0.16307106164802027"/>
          <c:w val="0.95803701541845843"/>
          <c:h val="0.77783471898414935"/>
        </c:manualLayout>
      </c:layout>
      <c:areaChart>
        <c:grouping val="standard"/>
        <c:varyColors val="0"/>
        <c:ser>
          <c:idx val="0"/>
          <c:order val="0"/>
          <c:tx>
            <c:strRef>
              <c:f>'Pivot Table'!$H$4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Table'!$G$5:$G$35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Table'!$H$5:$H$35</c:f>
              <c:numCache>
                <c:formatCode>General</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2-A1E6-40A1-8675-EC9BC3EBCF7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00675823"/>
        <c:axId val="2132109279"/>
      </c:areaChart>
      <c:catAx>
        <c:axId val="15006758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32109279"/>
        <c:crosses val="autoZero"/>
        <c:auto val="1"/>
        <c:lblAlgn val="ctr"/>
        <c:lblOffset val="100"/>
        <c:noMultiLvlLbl val="0"/>
      </c:catAx>
      <c:valAx>
        <c:axId val="2132109279"/>
        <c:scaling>
          <c:orientation val="minMax"/>
        </c:scaling>
        <c:delete val="1"/>
        <c:axPos val="l"/>
        <c:numFmt formatCode="General" sourceLinked="1"/>
        <c:majorTickMark val="out"/>
        <c:minorTickMark val="none"/>
        <c:tickLblPos val="nextTo"/>
        <c:crossAx val="15006758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 analysis.xlsx]Pivot Table!PivotTable6</c:name>
    <c:fmtId val="4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055317610239337E-2"/>
          <c:y val="0.1746719160104987"/>
          <c:w val="0.9428806553575102"/>
          <c:h val="0.64410219270536384"/>
        </c:manualLayout>
      </c:layout>
      <c:areaChart>
        <c:grouping val="standard"/>
        <c:varyColors val="0"/>
        <c:ser>
          <c:idx val="0"/>
          <c:order val="0"/>
          <c:tx>
            <c:strRef>
              <c:f>'Pivot Table'!$K$4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Table'!$J$5:$J$34</c:f>
              <c:strCache>
                <c:ptCount val="29"/>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strCache>
            </c:strRef>
          </c:cat>
          <c:val>
            <c:numRef>
              <c:f>'Pivot Table'!$K$5:$K$34</c:f>
              <c:numCache>
                <c:formatCode>General</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2-4BDF-4FD5-B57B-7F90F9E892D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07691567"/>
        <c:axId val="1407692047"/>
      </c:areaChart>
      <c:catAx>
        <c:axId val="14076915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07692047"/>
        <c:crosses val="autoZero"/>
        <c:auto val="1"/>
        <c:lblAlgn val="ctr"/>
        <c:lblOffset val="100"/>
        <c:noMultiLvlLbl val="0"/>
      </c:catAx>
      <c:valAx>
        <c:axId val="1407692047"/>
        <c:scaling>
          <c:orientation val="minMax"/>
        </c:scaling>
        <c:delete val="1"/>
        <c:axPos val="l"/>
        <c:numFmt formatCode="General" sourceLinked="1"/>
        <c:majorTickMark val="out"/>
        <c:minorTickMark val="none"/>
        <c:tickLblPos val="nextTo"/>
        <c:crossAx val="1407691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ica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15</xdr:col>
      <xdr:colOff>20052</xdr:colOff>
      <xdr:row>10</xdr:row>
      <xdr:rowOff>68179</xdr:rowOff>
    </xdr:from>
    <xdr:to>
      <xdr:col>15</xdr:col>
      <xdr:colOff>930442</xdr:colOff>
      <xdr:row>13</xdr:row>
      <xdr:rowOff>22860</xdr:rowOff>
    </xdr:to>
    <xdr:graphicFrame macro="">
      <xdr:nvGraphicFramePr>
        <xdr:cNvPr id="10" name="Chart 9">
          <a:extLst>
            <a:ext uri="{FF2B5EF4-FFF2-40B4-BE49-F238E27FC236}">
              <a16:creationId xmlns:a16="http://schemas.microsoft.com/office/drawing/2014/main" id="{8EC03DF5-BF76-BB00-8918-5040EDD0E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205740</xdr:colOff>
      <xdr:row>0</xdr:row>
      <xdr:rowOff>144780</xdr:rowOff>
    </xdr:from>
    <xdr:to>
      <xdr:col>7</xdr:col>
      <xdr:colOff>586740</xdr:colOff>
      <xdr:row>5</xdr:row>
      <xdr:rowOff>106680</xdr:rowOff>
    </xdr:to>
    <xdr:sp macro="" textlink="">
      <xdr:nvSpPr>
        <xdr:cNvPr id="2" name="Rectangle: Rounded Corners 1">
          <a:extLst>
            <a:ext uri="{FF2B5EF4-FFF2-40B4-BE49-F238E27FC236}">
              <a16:creationId xmlns:a16="http://schemas.microsoft.com/office/drawing/2014/main" id="{D1A9E40C-D201-1272-55FB-6A228211962D}"/>
            </a:ext>
          </a:extLst>
        </xdr:cNvPr>
        <xdr:cNvSpPr/>
      </xdr:nvSpPr>
      <xdr:spPr>
        <a:xfrm>
          <a:off x="205740" y="144780"/>
          <a:ext cx="4648200" cy="8763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53340</xdr:colOff>
      <xdr:row>0</xdr:row>
      <xdr:rowOff>137160</xdr:rowOff>
    </xdr:from>
    <xdr:to>
      <xdr:col>11</xdr:col>
      <xdr:colOff>441960</xdr:colOff>
      <xdr:row>5</xdr:row>
      <xdr:rowOff>99060</xdr:rowOff>
    </xdr:to>
    <xdr:sp macro="" textlink="">
      <xdr:nvSpPr>
        <xdr:cNvPr id="3" name="Rectangle: Rounded Corners 2">
          <a:extLst>
            <a:ext uri="{FF2B5EF4-FFF2-40B4-BE49-F238E27FC236}">
              <a16:creationId xmlns:a16="http://schemas.microsoft.com/office/drawing/2014/main" id="{9D300002-F45B-4AEC-8A6C-638C1F61BBB9}"/>
            </a:ext>
          </a:extLst>
        </xdr:cNvPr>
        <xdr:cNvSpPr/>
      </xdr:nvSpPr>
      <xdr:spPr>
        <a:xfrm>
          <a:off x="4930140" y="137160"/>
          <a:ext cx="2217420" cy="876300"/>
        </a:xfrm>
        <a:prstGeom prst="roundRect">
          <a:avLst>
            <a:gd name="adj" fmla="val 1753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182880</xdr:colOff>
      <xdr:row>5</xdr:row>
      <xdr:rowOff>160020</xdr:rowOff>
    </xdr:from>
    <xdr:to>
      <xdr:col>3</xdr:col>
      <xdr:colOff>0</xdr:colOff>
      <xdr:row>12</xdr:row>
      <xdr:rowOff>7620</xdr:rowOff>
    </xdr:to>
    <xdr:sp macro="" textlink="">
      <xdr:nvSpPr>
        <xdr:cNvPr id="4" name="Rectangle: Rounded Corners 3">
          <a:extLst>
            <a:ext uri="{FF2B5EF4-FFF2-40B4-BE49-F238E27FC236}">
              <a16:creationId xmlns:a16="http://schemas.microsoft.com/office/drawing/2014/main" id="{72F82893-7841-41F1-92C8-0604689C0060}"/>
            </a:ext>
          </a:extLst>
        </xdr:cNvPr>
        <xdr:cNvSpPr/>
      </xdr:nvSpPr>
      <xdr:spPr>
        <a:xfrm>
          <a:off x="182880" y="1074420"/>
          <a:ext cx="1645920" cy="1127760"/>
        </a:xfrm>
        <a:prstGeom prst="roundRect">
          <a:avLst>
            <a:gd name="adj" fmla="val 1193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601980</xdr:colOff>
      <xdr:row>5</xdr:row>
      <xdr:rowOff>167640</xdr:rowOff>
    </xdr:from>
    <xdr:to>
      <xdr:col>8</xdr:col>
      <xdr:colOff>510540</xdr:colOff>
      <xdr:row>12</xdr:row>
      <xdr:rowOff>0</xdr:rowOff>
    </xdr:to>
    <xdr:sp macro="" textlink="">
      <xdr:nvSpPr>
        <xdr:cNvPr id="5" name="Rectangle: Rounded Corners 4">
          <a:extLst>
            <a:ext uri="{FF2B5EF4-FFF2-40B4-BE49-F238E27FC236}">
              <a16:creationId xmlns:a16="http://schemas.microsoft.com/office/drawing/2014/main" id="{069369FA-2FD4-4352-B3AC-07487C68D37B}"/>
            </a:ext>
          </a:extLst>
        </xdr:cNvPr>
        <xdr:cNvSpPr/>
      </xdr:nvSpPr>
      <xdr:spPr>
        <a:xfrm>
          <a:off x="3649980" y="1082040"/>
          <a:ext cx="1737360" cy="1112520"/>
        </a:xfrm>
        <a:prstGeom prst="roundRect">
          <a:avLst>
            <a:gd name="adj" fmla="val 6322"/>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60960</xdr:colOff>
      <xdr:row>6</xdr:row>
      <xdr:rowOff>0</xdr:rowOff>
    </xdr:from>
    <xdr:to>
      <xdr:col>5</xdr:col>
      <xdr:colOff>533400</xdr:colOff>
      <xdr:row>12</xdr:row>
      <xdr:rowOff>7620</xdr:rowOff>
    </xdr:to>
    <xdr:sp macro="" textlink="">
      <xdr:nvSpPr>
        <xdr:cNvPr id="6" name="Rectangle: Rounded Corners 5">
          <a:extLst>
            <a:ext uri="{FF2B5EF4-FFF2-40B4-BE49-F238E27FC236}">
              <a16:creationId xmlns:a16="http://schemas.microsoft.com/office/drawing/2014/main" id="{7D453D90-F218-4462-8F5D-AECC9D2E6C1D}"/>
            </a:ext>
          </a:extLst>
        </xdr:cNvPr>
        <xdr:cNvSpPr/>
      </xdr:nvSpPr>
      <xdr:spPr>
        <a:xfrm>
          <a:off x="1889760" y="1097280"/>
          <a:ext cx="1691640" cy="1104900"/>
        </a:xfrm>
        <a:prstGeom prst="roundRect">
          <a:avLst>
            <a:gd name="adj" fmla="val 701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190500</xdr:colOff>
      <xdr:row>16</xdr:row>
      <xdr:rowOff>57217</xdr:rowOff>
    </xdr:from>
    <xdr:to>
      <xdr:col>8</xdr:col>
      <xdr:colOff>525780</xdr:colOff>
      <xdr:row>26</xdr:row>
      <xdr:rowOff>118043</xdr:rowOff>
    </xdr:to>
    <xdr:sp macro="" textlink="">
      <xdr:nvSpPr>
        <xdr:cNvPr id="8" name="Rectangle: Rounded Corners 7">
          <a:extLst>
            <a:ext uri="{FF2B5EF4-FFF2-40B4-BE49-F238E27FC236}">
              <a16:creationId xmlns:a16="http://schemas.microsoft.com/office/drawing/2014/main" id="{E73CD6DB-F161-427F-94F7-E4936A98A400}"/>
            </a:ext>
          </a:extLst>
        </xdr:cNvPr>
        <xdr:cNvSpPr/>
      </xdr:nvSpPr>
      <xdr:spPr>
        <a:xfrm>
          <a:off x="190500" y="2983297"/>
          <a:ext cx="5212080" cy="1889626"/>
        </a:xfrm>
        <a:prstGeom prst="roundRect">
          <a:avLst>
            <a:gd name="adj" fmla="val 855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594360</xdr:colOff>
      <xdr:row>5</xdr:row>
      <xdr:rowOff>160020</xdr:rowOff>
    </xdr:from>
    <xdr:to>
      <xdr:col>11</xdr:col>
      <xdr:colOff>441960</xdr:colOff>
      <xdr:row>26</xdr:row>
      <xdr:rowOff>129540</xdr:rowOff>
    </xdr:to>
    <xdr:sp macro="" textlink="">
      <xdr:nvSpPr>
        <xdr:cNvPr id="9" name="Rectangle: Rounded Corners 8">
          <a:extLst>
            <a:ext uri="{FF2B5EF4-FFF2-40B4-BE49-F238E27FC236}">
              <a16:creationId xmlns:a16="http://schemas.microsoft.com/office/drawing/2014/main" id="{321DDAC4-AEDC-4F97-835C-E94A57945C41}"/>
            </a:ext>
          </a:extLst>
        </xdr:cNvPr>
        <xdr:cNvSpPr/>
      </xdr:nvSpPr>
      <xdr:spPr>
        <a:xfrm>
          <a:off x="5471160" y="1074420"/>
          <a:ext cx="1676400" cy="3810000"/>
        </a:xfrm>
        <a:prstGeom prst="roundRect">
          <a:avLst>
            <a:gd name="adj" fmla="val 500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571500</xdr:colOff>
      <xdr:row>0</xdr:row>
      <xdr:rowOff>160020</xdr:rowOff>
    </xdr:from>
    <xdr:to>
      <xdr:col>19</xdr:col>
      <xdr:colOff>365760</xdr:colOff>
      <xdr:row>11</xdr:row>
      <xdr:rowOff>114300</xdr:rowOff>
    </xdr:to>
    <xdr:sp macro="" textlink="">
      <xdr:nvSpPr>
        <xdr:cNvPr id="10" name="Rectangle: Rounded Corners 9">
          <a:extLst>
            <a:ext uri="{FF2B5EF4-FFF2-40B4-BE49-F238E27FC236}">
              <a16:creationId xmlns:a16="http://schemas.microsoft.com/office/drawing/2014/main" id="{C43E1AB2-5A84-485A-97CE-D43A8A646C23}"/>
            </a:ext>
          </a:extLst>
        </xdr:cNvPr>
        <xdr:cNvSpPr/>
      </xdr:nvSpPr>
      <xdr:spPr>
        <a:xfrm>
          <a:off x="9715500" y="160020"/>
          <a:ext cx="2232660" cy="1965960"/>
        </a:xfrm>
        <a:prstGeom prst="roundRect">
          <a:avLst>
            <a:gd name="adj" fmla="val 1046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533400</xdr:colOff>
      <xdr:row>0</xdr:row>
      <xdr:rowOff>160020</xdr:rowOff>
    </xdr:from>
    <xdr:to>
      <xdr:col>15</xdr:col>
      <xdr:colOff>419100</xdr:colOff>
      <xdr:row>11</xdr:row>
      <xdr:rowOff>114300</xdr:rowOff>
    </xdr:to>
    <xdr:sp macro="" textlink="">
      <xdr:nvSpPr>
        <xdr:cNvPr id="11" name="Rectangle: Rounded Corners 10">
          <a:extLst>
            <a:ext uri="{FF2B5EF4-FFF2-40B4-BE49-F238E27FC236}">
              <a16:creationId xmlns:a16="http://schemas.microsoft.com/office/drawing/2014/main" id="{FFCBE6B3-E8BD-4B7C-A4B9-55B39F571353}"/>
            </a:ext>
          </a:extLst>
        </xdr:cNvPr>
        <xdr:cNvSpPr/>
      </xdr:nvSpPr>
      <xdr:spPr>
        <a:xfrm>
          <a:off x="7239000" y="160020"/>
          <a:ext cx="2324100" cy="1965960"/>
        </a:xfrm>
        <a:prstGeom prst="roundRect">
          <a:avLst>
            <a:gd name="adj" fmla="val 97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563880</xdr:colOff>
      <xdr:row>12</xdr:row>
      <xdr:rowOff>22860</xdr:rowOff>
    </xdr:from>
    <xdr:to>
      <xdr:col>19</xdr:col>
      <xdr:colOff>396240</xdr:colOff>
      <xdr:row>26</xdr:row>
      <xdr:rowOff>83820</xdr:rowOff>
    </xdr:to>
    <xdr:sp macro="" textlink="">
      <xdr:nvSpPr>
        <xdr:cNvPr id="12" name="Rectangle: Rounded Corners 11">
          <a:extLst>
            <a:ext uri="{FF2B5EF4-FFF2-40B4-BE49-F238E27FC236}">
              <a16:creationId xmlns:a16="http://schemas.microsoft.com/office/drawing/2014/main" id="{53F44794-1F15-483B-A9A5-53925BD62D0A}"/>
            </a:ext>
          </a:extLst>
        </xdr:cNvPr>
        <xdr:cNvSpPr/>
      </xdr:nvSpPr>
      <xdr:spPr>
        <a:xfrm>
          <a:off x="7269480" y="2217420"/>
          <a:ext cx="4709160" cy="2621280"/>
        </a:xfrm>
        <a:prstGeom prst="roundRect">
          <a:avLst>
            <a:gd name="adj" fmla="val 271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83820</xdr:colOff>
      <xdr:row>1</xdr:row>
      <xdr:rowOff>99060</xdr:rowOff>
    </xdr:from>
    <xdr:to>
      <xdr:col>7</xdr:col>
      <xdr:colOff>586740</xdr:colOff>
      <xdr:row>3</xdr:row>
      <xdr:rowOff>22860</xdr:rowOff>
    </xdr:to>
    <xdr:sp macro="" textlink="">
      <xdr:nvSpPr>
        <xdr:cNvPr id="13" name="TextBox 12">
          <a:extLst>
            <a:ext uri="{FF2B5EF4-FFF2-40B4-BE49-F238E27FC236}">
              <a16:creationId xmlns:a16="http://schemas.microsoft.com/office/drawing/2014/main" id="{362DFAC6-8270-23AA-0874-A75B8A63BF24}"/>
            </a:ext>
          </a:extLst>
        </xdr:cNvPr>
        <xdr:cNvSpPr txBox="1"/>
      </xdr:nvSpPr>
      <xdr:spPr>
        <a:xfrm>
          <a:off x="1303020" y="281940"/>
          <a:ext cx="3550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latin typeface="Times New Roman" panose="02020603050405020304" pitchFamily="18" charset="0"/>
              <a:cs typeface="Times New Roman" panose="02020603050405020304" pitchFamily="18" charset="0"/>
            </a:rPr>
            <a:t>Hospital Emerency Room Dashboard</a:t>
          </a:r>
        </a:p>
      </xdr:txBody>
    </xdr:sp>
    <xdr:clientData/>
  </xdr:twoCellAnchor>
  <xdr:twoCellAnchor editAs="oneCell">
    <xdr:from>
      <xdr:col>0</xdr:col>
      <xdr:colOff>8972</xdr:colOff>
      <xdr:row>0</xdr:row>
      <xdr:rowOff>137160</xdr:rowOff>
    </xdr:from>
    <xdr:to>
      <xdr:col>2</xdr:col>
      <xdr:colOff>354330</xdr:colOff>
      <xdr:row>5</xdr:row>
      <xdr:rowOff>91440</xdr:rowOff>
    </xdr:to>
    <xdr:pic>
      <xdr:nvPicPr>
        <xdr:cNvPr id="15" name="Picture 14">
          <a:extLst>
            <a:ext uri="{FF2B5EF4-FFF2-40B4-BE49-F238E27FC236}">
              <a16:creationId xmlns:a16="http://schemas.microsoft.com/office/drawing/2014/main" id="{367499EC-A281-273D-471C-D7CB11F796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2" y="137160"/>
          <a:ext cx="1564558" cy="868680"/>
        </a:xfrm>
        <a:prstGeom prst="rect">
          <a:avLst/>
        </a:prstGeom>
      </xdr:spPr>
    </xdr:pic>
    <xdr:clientData/>
  </xdr:twoCellAnchor>
  <xdr:twoCellAnchor>
    <xdr:from>
      <xdr:col>3</xdr:col>
      <xdr:colOff>327660</xdr:colOff>
      <xdr:row>3</xdr:row>
      <xdr:rowOff>53340</xdr:rowOff>
    </xdr:from>
    <xdr:to>
      <xdr:col>6</xdr:col>
      <xdr:colOff>7620</xdr:colOff>
      <xdr:row>4</xdr:row>
      <xdr:rowOff>76200</xdr:rowOff>
    </xdr:to>
    <xdr:sp macro="" textlink="">
      <xdr:nvSpPr>
        <xdr:cNvPr id="18" name="TextBox 17">
          <a:extLst>
            <a:ext uri="{FF2B5EF4-FFF2-40B4-BE49-F238E27FC236}">
              <a16:creationId xmlns:a16="http://schemas.microsoft.com/office/drawing/2014/main" id="{ECF1B36E-3440-6B61-C527-9737DBBAD44D}"/>
            </a:ext>
          </a:extLst>
        </xdr:cNvPr>
        <xdr:cNvSpPr txBox="1"/>
      </xdr:nvSpPr>
      <xdr:spPr>
        <a:xfrm>
          <a:off x="2156460" y="601980"/>
          <a:ext cx="15087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latin typeface="Times New Roman" panose="02020603050405020304" pitchFamily="18" charset="0"/>
              <a:cs typeface="Times New Roman" panose="02020603050405020304" pitchFamily="18" charset="0"/>
            </a:rPr>
            <a:t>Monthly Report</a:t>
          </a:r>
        </a:p>
      </xdr:txBody>
    </xdr:sp>
    <xdr:clientData/>
  </xdr:twoCellAnchor>
  <xdr:twoCellAnchor>
    <xdr:from>
      <xdr:col>0</xdr:col>
      <xdr:colOff>464820</xdr:colOff>
      <xdr:row>8</xdr:row>
      <xdr:rowOff>38100</xdr:rowOff>
    </xdr:from>
    <xdr:to>
      <xdr:col>2</xdr:col>
      <xdr:colOff>251460</xdr:colOff>
      <xdr:row>9</xdr:row>
      <xdr:rowOff>76200</xdr:rowOff>
    </xdr:to>
    <xdr:sp macro="" textlink="">
      <xdr:nvSpPr>
        <xdr:cNvPr id="20" name="TextBox 19">
          <a:extLst>
            <a:ext uri="{FF2B5EF4-FFF2-40B4-BE49-F238E27FC236}">
              <a16:creationId xmlns:a16="http://schemas.microsoft.com/office/drawing/2014/main" id="{107F436C-66BF-2BC3-A3D1-8F7EE3E9AF00}"/>
            </a:ext>
          </a:extLst>
        </xdr:cNvPr>
        <xdr:cNvSpPr txBox="1"/>
      </xdr:nvSpPr>
      <xdr:spPr>
        <a:xfrm>
          <a:off x="464820" y="1501140"/>
          <a:ext cx="10058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latin typeface="Times New Roman" panose="02020603050405020304" pitchFamily="18" charset="0"/>
              <a:cs typeface="Times New Roman" panose="02020603050405020304" pitchFamily="18" charset="0"/>
            </a:rPr>
            <a:t>No of Patient</a:t>
          </a:r>
        </a:p>
      </xdr:txBody>
    </xdr:sp>
    <xdr:clientData/>
  </xdr:twoCellAnchor>
  <xdr:twoCellAnchor>
    <xdr:from>
      <xdr:col>1</xdr:col>
      <xdr:colOff>99060</xdr:colOff>
      <xdr:row>6</xdr:row>
      <xdr:rowOff>121920</xdr:rowOff>
    </xdr:from>
    <xdr:to>
      <xdr:col>2</xdr:col>
      <xdr:colOff>30480</xdr:colOff>
      <xdr:row>7</xdr:row>
      <xdr:rowOff>175260</xdr:rowOff>
    </xdr:to>
    <xdr:sp macro="" textlink="'Pivot Table'!A5">
      <xdr:nvSpPr>
        <xdr:cNvPr id="21" name="TextBox 20">
          <a:extLst>
            <a:ext uri="{FF2B5EF4-FFF2-40B4-BE49-F238E27FC236}">
              <a16:creationId xmlns:a16="http://schemas.microsoft.com/office/drawing/2014/main" id="{F827E7AF-F300-43AC-8746-5F6B48A48556}"/>
            </a:ext>
          </a:extLst>
        </xdr:cNvPr>
        <xdr:cNvSpPr txBox="1"/>
      </xdr:nvSpPr>
      <xdr:spPr>
        <a:xfrm>
          <a:off x="708660" y="1219200"/>
          <a:ext cx="5410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67ECEB3-44FE-4F31-8C06-D82F3A2F126B}" type="TxLink">
            <a:rPr lang="en-US" sz="1600" b="0" i="0" u="none" strike="noStrike">
              <a:solidFill>
                <a:srgbClr val="000000"/>
              </a:solidFill>
              <a:latin typeface="Times New Roman" panose="02020603050405020304" pitchFamily="18" charset="0"/>
              <a:cs typeface="Times New Roman" panose="02020603050405020304" pitchFamily="18" charset="0"/>
            </a:rPr>
            <a:t>466</a:t>
          </a:fld>
          <a:endParaRPr lang="en-IN" sz="1200" b="0">
            <a:latin typeface="Times New Roman" panose="02020603050405020304" pitchFamily="18" charset="0"/>
            <a:cs typeface="Times New Roman" panose="02020603050405020304" pitchFamily="18" charset="0"/>
          </a:endParaRPr>
        </a:p>
      </xdr:txBody>
    </xdr:sp>
    <xdr:clientData/>
  </xdr:twoCellAnchor>
  <xdr:twoCellAnchor>
    <xdr:from>
      <xdr:col>3</xdr:col>
      <xdr:colOff>236220</xdr:colOff>
      <xdr:row>8</xdr:row>
      <xdr:rowOff>45720</xdr:rowOff>
    </xdr:from>
    <xdr:to>
      <xdr:col>5</xdr:col>
      <xdr:colOff>373380</xdr:colOff>
      <xdr:row>9</xdr:row>
      <xdr:rowOff>83820</xdr:rowOff>
    </xdr:to>
    <xdr:sp macro="" textlink="">
      <xdr:nvSpPr>
        <xdr:cNvPr id="22" name="TextBox 21">
          <a:extLst>
            <a:ext uri="{FF2B5EF4-FFF2-40B4-BE49-F238E27FC236}">
              <a16:creationId xmlns:a16="http://schemas.microsoft.com/office/drawing/2014/main" id="{D35282F2-CB9F-46C8-B079-BD0CCAA425D2}"/>
            </a:ext>
          </a:extLst>
        </xdr:cNvPr>
        <xdr:cNvSpPr txBox="1"/>
      </xdr:nvSpPr>
      <xdr:spPr>
        <a:xfrm>
          <a:off x="2065020" y="1508760"/>
          <a:ext cx="13563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latin typeface="Times New Roman" panose="02020603050405020304" pitchFamily="18" charset="0"/>
              <a:cs typeface="Times New Roman" panose="02020603050405020304" pitchFamily="18" charset="0"/>
            </a:rPr>
            <a:t>Avg</a:t>
          </a:r>
          <a:r>
            <a:rPr lang="en-IN" sz="1200" b="0" baseline="0">
              <a:latin typeface="Times New Roman" panose="02020603050405020304" pitchFamily="18" charset="0"/>
              <a:cs typeface="Times New Roman" panose="02020603050405020304" pitchFamily="18" charset="0"/>
            </a:rPr>
            <a:t> Wait Time(Min)</a:t>
          </a:r>
          <a:endParaRPr lang="en-IN" sz="1200" b="0">
            <a:latin typeface="Times New Roman" panose="02020603050405020304" pitchFamily="18" charset="0"/>
            <a:cs typeface="Times New Roman" panose="02020603050405020304" pitchFamily="18" charset="0"/>
          </a:endParaRPr>
        </a:p>
      </xdr:txBody>
    </xdr:sp>
    <xdr:clientData/>
  </xdr:twoCellAnchor>
  <xdr:twoCellAnchor>
    <xdr:from>
      <xdr:col>4</xdr:col>
      <xdr:colOff>30480</xdr:colOff>
      <xdr:row>6</xdr:row>
      <xdr:rowOff>137160</xdr:rowOff>
    </xdr:from>
    <xdr:to>
      <xdr:col>4</xdr:col>
      <xdr:colOff>571500</xdr:colOff>
      <xdr:row>8</xdr:row>
      <xdr:rowOff>7620</xdr:rowOff>
    </xdr:to>
    <xdr:sp macro="" textlink="'Pivot Table'!A10">
      <xdr:nvSpPr>
        <xdr:cNvPr id="23" name="TextBox 22">
          <a:extLst>
            <a:ext uri="{FF2B5EF4-FFF2-40B4-BE49-F238E27FC236}">
              <a16:creationId xmlns:a16="http://schemas.microsoft.com/office/drawing/2014/main" id="{ACDEE1DD-F980-42A3-B2D8-1BB6E002F4E7}"/>
            </a:ext>
          </a:extLst>
        </xdr:cNvPr>
        <xdr:cNvSpPr txBox="1"/>
      </xdr:nvSpPr>
      <xdr:spPr>
        <a:xfrm>
          <a:off x="2468880" y="1234440"/>
          <a:ext cx="5410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626F5D3-7E55-4ACC-A4BA-F56184F8DAE7}" type="TxLink">
            <a:rPr lang="en-US" sz="1600" b="0" i="0" u="none" strike="noStrike">
              <a:solidFill>
                <a:srgbClr val="000000"/>
              </a:solidFill>
              <a:latin typeface="Times New Roman" panose="02020603050405020304" pitchFamily="18" charset="0"/>
              <a:cs typeface="Times New Roman" panose="02020603050405020304" pitchFamily="18" charset="0"/>
            </a:rPr>
            <a:t>35.06</a:t>
          </a:fld>
          <a:endParaRPr lang="en-IN" sz="1200" b="0">
            <a:latin typeface="Times New Roman" panose="02020603050405020304" pitchFamily="18" charset="0"/>
            <a:cs typeface="Times New Roman" panose="02020603050405020304" pitchFamily="18" charset="0"/>
          </a:endParaRPr>
        </a:p>
      </xdr:txBody>
    </xdr:sp>
    <xdr:clientData/>
  </xdr:twoCellAnchor>
  <xdr:twoCellAnchor>
    <xdr:from>
      <xdr:col>6</xdr:col>
      <xdr:colOff>60960</xdr:colOff>
      <xdr:row>8</xdr:row>
      <xdr:rowOff>45720</xdr:rowOff>
    </xdr:from>
    <xdr:to>
      <xdr:col>8</xdr:col>
      <xdr:colOff>449580</xdr:colOff>
      <xdr:row>9</xdr:row>
      <xdr:rowOff>121920</xdr:rowOff>
    </xdr:to>
    <xdr:sp macro="" textlink="">
      <xdr:nvSpPr>
        <xdr:cNvPr id="24" name="TextBox 23">
          <a:extLst>
            <a:ext uri="{FF2B5EF4-FFF2-40B4-BE49-F238E27FC236}">
              <a16:creationId xmlns:a16="http://schemas.microsoft.com/office/drawing/2014/main" id="{7931A187-C602-4B83-B7F1-B5B74C70E100}"/>
            </a:ext>
          </a:extLst>
        </xdr:cNvPr>
        <xdr:cNvSpPr txBox="1"/>
      </xdr:nvSpPr>
      <xdr:spPr>
        <a:xfrm>
          <a:off x="3718560" y="1508760"/>
          <a:ext cx="16078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latin typeface="Times New Roman" panose="02020603050405020304" pitchFamily="18" charset="0"/>
              <a:cs typeface="Times New Roman" panose="02020603050405020304" pitchFamily="18" charset="0"/>
            </a:rPr>
            <a:t>Patient</a:t>
          </a:r>
          <a:r>
            <a:rPr lang="en-IN" sz="1200" b="0" baseline="0">
              <a:latin typeface="Times New Roman" panose="02020603050405020304" pitchFamily="18" charset="0"/>
              <a:cs typeface="Times New Roman" panose="02020603050405020304" pitchFamily="18" charset="0"/>
            </a:rPr>
            <a:t> Satisfaction Score</a:t>
          </a:r>
          <a:endParaRPr lang="en-IN" sz="1200" b="0">
            <a:latin typeface="Times New Roman" panose="02020603050405020304" pitchFamily="18" charset="0"/>
            <a:cs typeface="Times New Roman" panose="02020603050405020304" pitchFamily="18" charset="0"/>
          </a:endParaRPr>
        </a:p>
      </xdr:txBody>
    </xdr:sp>
    <xdr:clientData/>
  </xdr:twoCellAnchor>
  <xdr:twoCellAnchor>
    <xdr:from>
      <xdr:col>6</xdr:col>
      <xdr:colOff>541020</xdr:colOff>
      <xdr:row>6</xdr:row>
      <xdr:rowOff>129540</xdr:rowOff>
    </xdr:from>
    <xdr:to>
      <xdr:col>7</xdr:col>
      <xdr:colOff>472440</xdr:colOff>
      <xdr:row>8</xdr:row>
      <xdr:rowOff>0</xdr:rowOff>
    </xdr:to>
    <xdr:sp macro="" textlink="'Pivot Table'!A14">
      <xdr:nvSpPr>
        <xdr:cNvPr id="25" name="TextBox 24">
          <a:extLst>
            <a:ext uri="{FF2B5EF4-FFF2-40B4-BE49-F238E27FC236}">
              <a16:creationId xmlns:a16="http://schemas.microsoft.com/office/drawing/2014/main" id="{E33EB68A-A6A1-4537-88EA-C2BC4D844A58}"/>
            </a:ext>
          </a:extLst>
        </xdr:cNvPr>
        <xdr:cNvSpPr txBox="1"/>
      </xdr:nvSpPr>
      <xdr:spPr>
        <a:xfrm>
          <a:off x="4198620" y="1226820"/>
          <a:ext cx="5410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F9C7BCF-1010-4487-889D-239D96F37FB9}" type="TxLink">
            <a:rPr lang="en-US" sz="1600" b="0" i="0" u="none" strike="noStrike">
              <a:solidFill>
                <a:srgbClr val="000000"/>
              </a:solidFill>
              <a:latin typeface="Times New Roman" panose="02020603050405020304" pitchFamily="18" charset="0"/>
              <a:cs typeface="Times New Roman" panose="02020603050405020304" pitchFamily="18" charset="0"/>
            </a:rPr>
            <a:t>4.91</a:t>
          </a:fld>
          <a:endParaRPr lang="en-IN" sz="1200" b="0">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114300</xdr:colOff>
      <xdr:row>6</xdr:row>
      <xdr:rowOff>22860</xdr:rowOff>
    </xdr:from>
    <xdr:to>
      <xdr:col>2</xdr:col>
      <xdr:colOff>510540</xdr:colOff>
      <xdr:row>8</xdr:row>
      <xdr:rowOff>53340</xdr:rowOff>
    </xdr:to>
    <xdr:pic>
      <xdr:nvPicPr>
        <xdr:cNvPr id="27" name="Graphic 26" descr="Office worker male with solid fill">
          <a:extLst>
            <a:ext uri="{FF2B5EF4-FFF2-40B4-BE49-F238E27FC236}">
              <a16:creationId xmlns:a16="http://schemas.microsoft.com/office/drawing/2014/main" id="{11EC1ADA-907B-4B58-2BD0-6BF5E6326DB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33500" y="1120140"/>
          <a:ext cx="396240" cy="396240"/>
        </a:xfrm>
        <a:prstGeom prst="rect">
          <a:avLst/>
        </a:prstGeom>
      </xdr:spPr>
    </xdr:pic>
    <xdr:clientData/>
  </xdr:twoCellAnchor>
  <xdr:twoCellAnchor editAs="oneCell">
    <xdr:from>
      <xdr:col>5</xdr:col>
      <xdr:colOff>152400</xdr:colOff>
      <xdr:row>6</xdr:row>
      <xdr:rowOff>83820</xdr:rowOff>
    </xdr:from>
    <xdr:to>
      <xdr:col>5</xdr:col>
      <xdr:colOff>449580</xdr:colOff>
      <xdr:row>8</xdr:row>
      <xdr:rowOff>15240</xdr:rowOff>
    </xdr:to>
    <xdr:pic>
      <xdr:nvPicPr>
        <xdr:cNvPr id="29" name="Graphic 28" descr="Hourglass Finished with solid fill">
          <a:extLst>
            <a:ext uri="{FF2B5EF4-FFF2-40B4-BE49-F238E27FC236}">
              <a16:creationId xmlns:a16="http://schemas.microsoft.com/office/drawing/2014/main" id="{C262E16A-D820-702C-88CE-5996CB4DC2E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10800000">
          <a:off x="3200400" y="1181100"/>
          <a:ext cx="297180" cy="297180"/>
        </a:xfrm>
        <a:prstGeom prst="rect">
          <a:avLst/>
        </a:prstGeom>
      </xdr:spPr>
    </xdr:pic>
    <xdr:clientData/>
  </xdr:twoCellAnchor>
  <xdr:twoCellAnchor editAs="oneCell">
    <xdr:from>
      <xdr:col>8</xdr:col>
      <xdr:colOff>22860</xdr:colOff>
      <xdr:row>6</xdr:row>
      <xdr:rowOff>38100</xdr:rowOff>
    </xdr:from>
    <xdr:to>
      <xdr:col>8</xdr:col>
      <xdr:colOff>426720</xdr:colOff>
      <xdr:row>8</xdr:row>
      <xdr:rowOff>76200</xdr:rowOff>
    </xdr:to>
    <xdr:pic>
      <xdr:nvPicPr>
        <xdr:cNvPr id="31" name="Graphic 30" descr="Rating with solid fill">
          <a:extLst>
            <a:ext uri="{FF2B5EF4-FFF2-40B4-BE49-F238E27FC236}">
              <a16:creationId xmlns:a16="http://schemas.microsoft.com/office/drawing/2014/main" id="{5858EC75-BD0C-2E85-3DB7-53EE1E45811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99660" y="1135380"/>
          <a:ext cx="403860" cy="403860"/>
        </a:xfrm>
        <a:prstGeom prst="rect">
          <a:avLst/>
        </a:prstGeom>
      </xdr:spPr>
    </xdr:pic>
    <xdr:clientData/>
  </xdr:twoCellAnchor>
  <xdr:twoCellAnchor editAs="oneCell">
    <xdr:from>
      <xdr:col>9</xdr:col>
      <xdr:colOff>45720</xdr:colOff>
      <xdr:row>6</xdr:row>
      <xdr:rowOff>22860</xdr:rowOff>
    </xdr:from>
    <xdr:to>
      <xdr:col>11</xdr:col>
      <xdr:colOff>373380</xdr:colOff>
      <xdr:row>26</xdr:row>
      <xdr:rowOff>106680</xdr:rowOff>
    </xdr:to>
    <mc:AlternateContent xmlns:mc="http://schemas.openxmlformats.org/markup-compatibility/2006">
      <mc:Choice xmlns:a14="http://schemas.microsoft.com/office/drawing/2010/main" Requires="a14">
        <xdr:graphicFrame macro="">
          <xdr:nvGraphicFramePr>
            <xdr:cNvPr id="32" name="Date (Month)">
              <a:extLst>
                <a:ext uri="{FF2B5EF4-FFF2-40B4-BE49-F238E27FC236}">
                  <a16:creationId xmlns:a16="http://schemas.microsoft.com/office/drawing/2014/main" id="{63C57DCC-24F0-41C0-99B5-980A85EFC18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5532120" y="1120140"/>
              <a:ext cx="1546860" cy="3741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167640</xdr:colOff>
      <xdr:row>8</xdr:row>
      <xdr:rowOff>0</xdr:rowOff>
    </xdr:from>
    <xdr:to>
      <xdr:col>3</xdr:col>
      <xdr:colOff>0</xdr:colOff>
      <xdr:row>11</xdr:row>
      <xdr:rowOff>160020</xdr:rowOff>
    </xdr:to>
    <xdr:graphicFrame macro="">
      <xdr:nvGraphicFramePr>
        <xdr:cNvPr id="34" name="Chart 33">
          <a:hlinkClick xmlns:r="http://schemas.openxmlformats.org/officeDocument/2006/relationships" r:id="rId8"/>
          <a:extLst>
            <a:ext uri="{FF2B5EF4-FFF2-40B4-BE49-F238E27FC236}">
              <a16:creationId xmlns:a16="http://schemas.microsoft.com/office/drawing/2014/main" id="{4667DB9B-4CC6-4B6A-AF9E-B4E60E054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76200</xdr:colOff>
      <xdr:row>9</xdr:row>
      <xdr:rowOff>130561</xdr:rowOff>
    </xdr:from>
    <xdr:to>
      <xdr:col>5</xdr:col>
      <xdr:colOff>518160</xdr:colOff>
      <xdr:row>11</xdr:row>
      <xdr:rowOff>166619</xdr:rowOff>
    </xdr:to>
    <xdr:graphicFrame macro="">
      <xdr:nvGraphicFramePr>
        <xdr:cNvPr id="35" name="Chart 34">
          <a:hlinkClick xmlns:r="http://schemas.openxmlformats.org/officeDocument/2006/relationships" r:id="rId10"/>
          <a:extLst>
            <a:ext uri="{FF2B5EF4-FFF2-40B4-BE49-F238E27FC236}">
              <a16:creationId xmlns:a16="http://schemas.microsoft.com/office/drawing/2014/main" id="{5E2AD55B-21B8-4DA5-AD6B-80763F86E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0</xdr:colOff>
      <xdr:row>8</xdr:row>
      <xdr:rowOff>38100</xdr:rowOff>
    </xdr:from>
    <xdr:to>
      <xdr:col>8</xdr:col>
      <xdr:colOff>464820</xdr:colOff>
      <xdr:row>12</xdr:row>
      <xdr:rowOff>0</xdr:rowOff>
    </xdr:to>
    <xdr:graphicFrame macro="">
      <xdr:nvGraphicFramePr>
        <xdr:cNvPr id="36" name="Chart 35">
          <a:hlinkClick xmlns:r="http://schemas.openxmlformats.org/officeDocument/2006/relationships" r:id="rId12"/>
          <a:extLst>
            <a:ext uri="{FF2B5EF4-FFF2-40B4-BE49-F238E27FC236}">
              <a16:creationId xmlns:a16="http://schemas.microsoft.com/office/drawing/2014/main" id="{5E292FF2-BA66-4266-8289-5FC368455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213360</xdr:colOff>
          <xdr:row>12</xdr:row>
          <xdr:rowOff>91440</xdr:rowOff>
        </xdr:from>
        <xdr:to>
          <xdr:col>8</xdr:col>
          <xdr:colOff>472440</xdr:colOff>
          <xdr:row>15</xdr:row>
          <xdr:rowOff>129540</xdr:rowOff>
        </xdr:to>
        <xdr:pic>
          <xdr:nvPicPr>
            <xdr:cNvPr id="41" name="Picture 40">
              <a:extLst>
                <a:ext uri="{FF2B5EF4-FFF2-40B4-BE49-F238E27FC236}">
                  <a16:creationId xmlns:a16="http://schemas.microsoft.com/office/drawing/2014/main" id="{B1604DA6-FDA2-0314-3073-7CA744BB2F7A}"/>
                </a:ext>
              </a:extLst>
            </xdr:cNvPr>
            <xdr:cNvPicPr>
              <a:picLocks noChangeAspect="1" noChangeArrowheads="1"/>
              <a:extLst>
                <a:ext uri="{84589F7E-364E-4C9E-8A38-B11213B215E9}">
                  <a14:cameraTool cellRange="'Pivot Table'!$M$11:$P$13" spid="_x0000_s2062"/>
                </a:ext>
              </a:extLst>
            </xdr:cNvPicPr>
          </xdr:nvPicPr>
          <xdr:blipFill>
            <a:blip xmlns:r="http://schemas.openxmlformats.org/officeDocument/2006/relationships" r:embed="rId14">
              <a:alphaModFix amt="85000"/>
            </a:blip>
            <a:srcRect/>
            <a:stretch>
              <a:fillRect/>
            </a:stretch>
          </xdr:blipFill>
          <xdr:spPr bwMode="auto">
            <a:xfrm>
              <a:off x="213360" y="2286000"/>
              <a:ext cx="5135880" cy="586740"/>
            </a:xfrm>
            <a:prstGeom prst="roundRect">
              <a:avLst>
                <a:gd name="adj" fmla="val 4167"/>
              </a:avLst>
            </a:prstGeom>
            <a:solidFill>
              <a:srgbClr val="FFFFFF"/>
            </a:solidFill>
            <a:ln w="76200" cap="sq">
              <a:solidFill>
                <a:srgbClr val="EAEAEA"/>
              </a:solidFill>
              <a:miter lim="800000"/>
            </a:ln>
            <a:effectLst>
              <a:reflection blurRad="12700" stA="33000" endPos="28000" dist="5000" dir="5400000" sy="-100000" algn="bl" rotWithShape="0"/>
            </a:effectLst>
            <a:scene3d>
              <a:camera prst="orthographicFront"/>
              <a:lightRig rig="threePt" dir="t">
                <a:rot lat="0" lon="0" rev="2700000"/>
              </a:lightRig>
            </a:scene3d>
            <a:sp3d contourW="6350">
              <a:bevelT h="38100"/>
              <a:contourClr>
                <a:srgbClr val="C0C0C0"/>
              </a:contourClr>
            </a:sp3d>
            <a:extLst>
              <a:ext uri="{909E8E84-426E-40DD-AFC4-6F175D3DCCD1}">
                <a14:hiddenFill>
                  <a:solidFill>
                    <a:srgbClr val="FFFFFF"/>
                  </a:solidFill>
                </a14:hiddenFill>
              </a:ext>
            </a:extLst>
          </xdr:spPr>
        </xdr:pic>
        <xdr:clientData/>
      </xdr:twoCellAnchor>
    </mc:Choice>
    <mc:Fallback/>
  </mc:AlternateContent>
  <xdr:twoCellAnchor>
    <xdr:from>
      <xdr:col>0</xdr:col>
      <xdr:colOff>251460</xdr:colOff>
      <xdr:row>16</xdr:row>
      <xdr:rowOff>152401</xdr:rowOff>
    </xdr:from>
    <xdr:to>
      <xdr:col>8</xdr:col>
      <xdr:colOff>419100</xdr:colOff>
      <xdr:row>25</xdr:row>
      <xdr:rowOff>30481</xdr:rowOff>
    </xdr:to>
    <xdr:graphicFrame macro="">
      <xdr:nvGraphicFramePr>
        <xdr:cNvPr id="42" name="Chart 41">
          <a:extLst>
            <a:ext uri="{FF2B5EF4-FFF2-40B4-BE49-F238E27FC236}">
              <a16:creationId xmlns:a16="http://schemas.microsoft.com/office/drawing/2014/main" id="{551DD3E4-2E32-4406-AB28-18C18037C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525780</xdr:colOff>
      <xdr:row>25</xdr:row>
      <xdr:rowOff>22860</xdr:rowOff>
    </xdr:from>
    <xdr:to>
      <xdr:col>5</xdr:col>
      <xdr:colOff>472440</xdr:colOff>
      <xdr:row>26</xdr:row>
      <xdr:rowOff>68580</xdr:rowOff>
    </xdr:to>
    <xdr:sp macro="" textlink="">
      <xdr:nvSpPr>
        <xdr:cNvPr id="43" name="TextBox 42">
          <a:extLst>
            <a:ext uri="{FF2B5EF4-FFF2-40B4-BE49-F238E27FC236}">
              <a16:creationId xmlns:a16="http://schemas.microsoft.com/office/drawing/2014/main" id="{89D5E41F-F6C9-595C-6CE5-4897034AAF9F}"/>
            </a:ext>
          </a:extLst>
        </xdr:cNvPr>
        <xdr:cNvSpPr txBox="1"/>
      </xdr:nvSpPr>
      <xdr:spPr>
        <a:xfrm>
          <a:off x="1744980" y="4594860"/>
          <a:ext cx="17754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  Pattient  by  Age group</a:t>
          </a:r>
        </a:p>
      </xdr:txBody>
    </xdr:sp>
    <xdr:clientData/>
  </xdr:twoCellAnchor>
  <xdr:twoCellAnchor>
    <xdr:from>
      <xdr:col>12</xdr:col>
      <xdr:colOff>129540</xdr:colOff>
      <xdr:row>1</xdr:row>
      <xdr:rowOff>11784</xdr:rowOff>
    </xdr:from>
    <xdr:to>
      <xdr:col>15</xdr:col>
      <xdr:colOff>297180</xdr:colOff>
      <xdr:row>9</xdr:row>
      <xdr:rowOff>114300</xdr:rowOff>
    </xdr:to>
    <xdr:graphicFrame macro="">
      <xdr:nvGraphicFramePr>
        <xdr:cNvPr id="44" name="Chart 43">
          <a:extLst>
            <a:ext uri="{FF2B5EF4-FFF2-40B4-BE49-F238E27FC236}">
              <a16:creationId xmlns:a16="http://schemas.microsoft.com/office/drawing/2014/main" id="{41893ADF-9CF5-4285-9CF7-B9023A3F3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22860</xdr:colOff>
      <xdr:row>9</xdr:row>
      <xdr:rowOff>114300</xdr:rowOff>
    </xdr:from>
    <xdr:to>
      <xdr:col>15</xdr:col>
      <xdr:colOff>533400</xdr:colOff>
      <xdr:row>11</xdr:row>
      <xdr:rowOff>91440</xdr:rowOff>
    </xdr:to>
    <xdr:sp macro="" textlink="">
      <xdr:nvSpPr>
        <xdr:cNvPr id="45" name="TextBox 44">
          <a:extLst>
            <a:ext uri="{FF2B5EF4-FFF2-40B4-BE49-F238E27FC236}">
              <a16:creationId xmlns:a16="http://schemas.microsoft.com/office/drawing/2014/main" id="{70670440-45DF-50CC-CAE2-D742DF0E7490}"/>
            </a:ext>
          </a:extLst>
        </xdr:cNvPr>
        <xdr:cNvSpPr txBox="1"/>
      </xdr:nvSpPr>
      <xdr:spPr>
        <a:xfrm>
          <a:off x="7338060" y="1760220"/>
          <a:ext cx="23393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latin typeface="Times New Roman" panose="02020603050405020304" pitchFamily="18" charset="0"/>
              <a:cs typeface="Times New Roman" panose="02020603050405020304" pitchFamily="18" charset="0"/>
            </a:rPr>
            <a:t>Patient attended</a:t>
          </a:r>
          <a:r>
            <a:rPr lang="en-IN" sz="1400" baseline="0">
              <a:latin typeface="Times New Roman" panose="02020603050405020304" pitchFamily="18" charset="0"/>
              <a:cs typeface="Times New Roman" panose="02020603050405020304" pitchFamily="18" charset="0"/>
            </a:rPr>
            <a:t> within Time</a:t>
          </a:r>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16</xdr:col>
      <xdr:colOff>22860</xdr:colOff>
      <xdr:row>1</xdr:row>
      <xdr:rowOff>91440</xdr:rowOff>
    </xdr:from>
    <xdr:to>
      <xdr:col>19</xdr:col>
      <xdr:colOff>289560</xdr:colOff>
      <xdr:row>9</xdr:row>
      <xdr:rowOff>167640</xdr:rowOff>
    </xdr:to>
    <xdr:graphicFrame macro="">
      <xdr:nvGraphicFramePr>
        <xdr:cNvPr id="47" name="Chart 46">
          <a:extLst>
            <a:ext uri="{FF2B5EF4-FFF2-40B4-BE49-F238E27FC236}">
              <a16:creationId xmlns:a16="http://schemas.microsoft.com/office/drawing/2014/main" id="{988A42B7-9DE7-4943-9C86-F1B573E4C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586740</xdr:colOff>
      <xdr:row>9</xdr:row>
      <xdr:rowOff>114300</xdr:rowOff>
    </xdr:from>
    <xdr:to>
      <xdr:col>19</xdr:col>
      <xdr:colOff>373380</xdr:colOff>
      <xdr:row>11</xdr:row>
      <xdr:rowOff>91440</xdr:rowOff>
    </xdr:to>
    <xdr:sp macro="" textlink="">
      <xdr:nvSpPr>
        <xdr:cNvPr id="48" name="TextBox 47">
          <a:extLst>
            <a:ext uri="{FF2B5EF4-FFF2-40B4-BE49-F238E27FC236}">
              <a16:creationId xmlns:a16="http://schemas.microsoft.com/office/drawing/2014/main" id="{D37BBB75-A797-43B4-8F4E-7CE144381609}"/>
            </a:ext>
          </a:extLst>
        </xdr:cNvPr>
        <xdr:cNvSpPr txBox="1"/>
      </xdr:nvSpPr>
      <xdr:spPr>
        <a:xfrm>
          <a:off x="9730740" y="1760220"/>
          <a:ext cx="22250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Times New Roman" panose="02020603050405020304" pitchFamily="18" charset="0"/>
              <a:cs typeface="Times New Roman" panose="02020603050405020304" pitchFamily="18" charset="0"/>
            </a:rPr>
            <a:t>Gender</a:t>
          </a:r>
          <a:r>
            <a:rPr lang="en-IN" sz="1400" baseline="0">
              <a:latin typeface="Times New Roman" panose="02020603050405020304" pitchFamily="18" charset="0"/>
              <a:cs typeface="Times New Roman" panose="02020603050405020304" pitchFamily="18" charset="0"/>
            </a:rPr>
            <a:t> wise Analysis</a:t>
          </a:r>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12</xdr:col>
      <xdr:colOff>38100</xdr:colOff>
      <xdr:row>12</xdr:row>
      <xdr:rowOff>22860</xdr:rowOff>
    </xdr:from>
    <xdr:to>
      <xdr:col>19</xdr:col>
      <xdr:colOff>441960</xdr:colOff>
      <xdr:row>24</xdr:row>
      <xdr:rowOff>175260</xdr:rowOff>
    </xdr:to>
    <xdr:graphicFrame macro="">
      <xdr:nvGraphicFramePr>
        <xdr:cNvPr id="49" name="Chart 48">
          <a:extLst>
            <a:ext uri="{FF2B5EF4-FFF2-40B4-BE49-F238E27FC236}">
              <a16:creationId xmlns:a16="http://schemas.microsoft.com/office/drawing/2014/main" id="{95F1816D-87FE-4BD3-BF5D-DE6E3F540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487680</xdr:colOff>
      <xdr:row>24</xdr:row>
      <xdr:rowOff>152400</xdr:rowOff>
    </xdr:from>
    <xdr:to>
      <xdr:col>18</xdr:col>
      <xdr:colOff>556260</xdr:colOff>
      <xdr:row>26</xdr:row>
      <xdr:rowOff>129540</xdr:rowOff>
    </xdr:to>
    <xdr:sp macro="" textlink="">
      <xdr:nvSpPr>
        <xdr:cNvPr id="51" name="TextBox 50">
          <a:extLst>
            <a:ext uri="{FF2B5EF4-FFF2-40B4-BE49-F238E27FC236}">
              <a16:creationId xmlns:a16="http://schemas.microsoft.com/office/drawing/2014/main" id="{A0ACC1EF-843C-48E6-AFC6-53BE1DFE92DD}"/>
            </a:ext>
          </a:extLst>
        </xdr:cNvPr>
        <xdr:cNvSpPr txBox="1"/>
      </xdr:nvSpPr>
      <xdr:spPr>
        <a:xfrm>
          <a:off x="8412480" y="4541520"/>
          <a:ext cx="31165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latin typeface="Times New Roman" panose="02020603050405020304" pitchFamily="18" charset="0"/>
              <a:cs typeface="Times New Roman" panose="02020603050405020304" pitchFamily="18" charset="0"/>
            </a:rPr>
            <a:t>No</a:t>
          </a:r>
          <a:r>
            <a:rPr lang="en-IN" sz="1400" baseline="0">
              <a:latin typeface="Times New Roman" panose="02020603050405020304" pitchFamily="18" charset="0"/>
              <a:cs typeface="Times New Roman" panose="02020603050405020304" pitchFamily="18" charset="0"/>
            </a:rPr>
            <a:t> of patient by Deparment Referral</a:t>
          </a:r>
          <a:endParaRPr lang="en-IN" sz="1400">
            <a:latin typeface="Times New Roman" panose="02020603050405020304" pitchFamily="18" charset="0"/>
            <a:cs typeface="Times New Roman" panose="02020603050405020304" pitchFamily="18" charset="0"/>
          </a:endParaRPr>
        </a:p>
      </xdr:txBody>
    </xdr:sp>
    <xdr:clientData/>
  </xdr:twoCellAnchor>
  <xdr:twoCellAnchor editAs="oneCell">
    <xdr:from>
      <xdr:col>8</xdr:col>
      <xdr:colOff>163200</xdr:colOff>
      <xdr:row>1</xdr:row>
      <xdr:rowOff>15241</xdr:rowOff>
    </xdr:from>
    <xdr:to>
      <xdr:col>11</xdr:col>
      <xdr:colOff>358140</xdr:colOff>
      <xdr:row>5</xdr:row>
      <xdr:rowOff>6478</xdr:rowOff>
    </xdr:to>
    <mc:AlternateContent xmlns:mc="http://schemas.openxmlformats.org/markup-compatibility/2006">
      <mc:Choice xmlns:a14="http://schemas.microsoft.com/office/drawing/2010/main" Requires="a14">
        <xdr:graphicFrame macro="">
          <xdr:nvGraphicFramePr>
            <xdr:cNvPr id="52" name="Date (Year)">
              <a:extLst>
                <a:ext uri="{FF2B5EF4-FFF2-40B4-BE49-F238E27FC236}">
                  <a16:creationId xmlns:a16="http://schemas.microsoft.com/office/drawing/2014/main" id="{0F5AC2B5-8AB6-44A6-B990-2D847164480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040000" y="198121"/>
              <a:ext cx="2023740" cy="722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243840</xdr:colOff>
      <xdr:row>1</xdr:row>
      <xdr:rowOff>30480</xdr:rowOff>
    </xdr:from>
    <xdr:to>
      <xdr:col>17</xdr:col>
      <xdr:colOff>289560</xdr:colOff>
      <xdr:row>23</xdr:row>
      <xdr:rowOff>22860</xdr:rowOff>
    </xdr:to>
    <xdr:graphicFrame macro="">
      <xdr:nvGraphicFramePr>
        <xdr:cNvPr id="2" name="Chart 1">
          <a:extLst>
            <a:ext uri="{FF2B5EF4-FFF2-40B4-BE49-F238E27FC236}">
              <a16:creationId xmlns:a16="http://schemas.microsoft.com/office/drawing/2014/main" id="{5B7F862C-567A-4090-BE27-3118D3760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23</xdr:row>
      <xdr:rowOff>160020</xdr:rowOff>
    </xdr:from>
    <xdr:to>
      <xdr:col>17</xdr:col>
      <xdr:colOff>236220</xdr:colOff>
      <xdr:row>26</xdr:row>
      <xdr:rowOff>121920</xdr:rowOff>
    </xdr:to>
    <xdr:sp macro="" textlink="">
      <xdr:nvSpPr>
        <xdr:cNvPr id="3" name="TextBox 2">
          <a:extLst>
            <a:ext uri="{FF2B5EF4-FFF2-40B4-BE49-F238E27FC236}">
              <a16:creationId xmlns:a16="http://schemas.microsoft.com/office/drawing/2014/main" id="{04E8FA14-4DAA-D849-9D12-E1F679ABB814}"/>
            </a:ext>
          </a:extLst>
        </xdr:cNvPr>
        <xdr:cNvSpPr txBox="1"/>
      </xdr:nvSpPr>
      <xdr:spPr>
        <a:xfrm>
          <a:off x="1562100" y="4366260"/>
          <a:ext cx="9037320" cy="51054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atin typeface="Times New Roman" panose="02020603050405020304" pitchFamily="18" charset="0"/>
              <a:cs typeface="Times New Roman" panose="02020603050405020304" pitchFamily="18" charset="0"/>
            </a:rPr>
            <a:t>Showing</a:t>
          </a:r>
          <a:r>
            <a:rPr lang="en-IN" sz="1800" b="0" baseline="0">
              <a:latin typeface="Times New Roman" panose="02020603050405020304" pitchFamily="18" charset="0"/>
              <a:cs typeface="Times New Roman" panose="02020603050405020304" pitchFamily="18" charset="0"/>
            </a:rPr>
            <a:t> a daily trend with an area sparkline to spot patterns like busy days or seasonal trands.</a:t>
          </a:r>
          <a:endParaRPr lang="en-IN" sz="1800" b="0">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0.07154</cdr:x>
      <cdr:y>0.15673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D444906-BA2E-AA47-6B2D-2CD6A036621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701040" cy="70104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457200</xdr:colOff>
      <xdr:row>1</xdr:row>
      <xdr:rowOff>60960</xdr:rowOff>
    </xdr:from>
    <xdr:to>
      <xdr:col>17</xdr:col>
      <xdr:colOff>167640</xdr:colOff>
      <xdr:row>23</xdr:row>
      <xdr:rowOff>129540</xdr:rowOff>
    </xdr:to>
    <xdr:graphicFrame macro="">
      <xdr:nvGraphicFramePr>
        <xdr:cNvPr id="2" name="Chart 1">
          <a:extLst>
            <a:ext uri="{FF2B5EF4-FFF2-40B4-BE49-F238E27FC236}">
              <a16:creationId xmlns:a16="http://schemas.microsoft.com/office/drawing/2014/main" id="{C1C51FAC-B7BA-42A3-A036-158A4CCA7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99060</xdr:colOff>
      <xdr:row>24</xdr:row>
      <xdr:rowOff>91440</xdr:rowOff>
    </xdr:from>
    <xdr:to>
      <xdr:col>16</xdr:col>
      <xdr:colOff>335280</xdr:colOff>
      <xdr:row>26</xdr:row>
      <xdr:rowOff>160020</xdr:rowOff>
    </xdr:to>
    <xdr:sp macro="" textlink="">
      <xdr:nvSpPr>
        <xdr:cNvPr id="3" name="TextBox 2">
          <a:extLst>
            <a:ext uri="{FF2B5EF4-FFF2-40B4-BE49-F238E27FC236}">
              <a16:creationId xmlns:a16="http://schemas.microsoft.com/office/drawing/2014/main" id="{4F6AACF8-FBB0-E18C-94EB-6974DA21CD01}"/>
            </a:ext>
          </a:extLst>
        </xdr:cNvPr>
        <xdr:cNvSpPr txBox="1"/>
      </xdr:nvSpPr>
      <xdr:spPr>
        <a:xfrm>
          <a:off x="708660" y="4480560"/>
          <a:ext cx="9380220" cy="43434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Times New Roman" panose="02020603050405020304" pitchFamily="18" charset="0"/>
              <a:cs typeface="Times New Roman" panose="02020603050405020304" pitchFamily="18" charset="0"/>
            </a:rPr>
            <a:t>Use an area  chart to track daily changes and highlight day with longer wait</a:t>
          </a:r>
          <a:r>
            <a:rPr lang="en-IN" sz="1600" baseline="0">
              <a:latin typeface="Times New Roman" panose="02020603050405020304" pitchFamily="18" charset="0"/>
              <a:cs typeface="Times New Roman" panose="02020603050405020304" pitchFamily="18" charset="0"/>
            </a:rPr>
            <a:t> times that might need improvement.</a:t>
          </a:r>
          <a:endParaRPr lang="en-IN" sz="1600">
            <a:latin typeface="Times New Roman" panose="02020603050405020304" pitchFamily="18" charset="0"/>
            <a:cs typeface="Times New Roman" panose="02020603050405020304" pitchFamily="18" charset="0"/>
          </a:endParaRPr>
        </a:p>
      </xdr:txBody>
    </xdr:sp>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0.06354</cdr:x>
      <cdr:y>0.16406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4B38C55-0645-E144-962D-FAAAB410561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40080" cy="64008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1</xdr:col>
      <xdr:colOff>99060</xdr:colOff>
      <xdr:row>24</xdr:row>
      <xdr:rowOff>91440</xdr:rowOff>
    </xdr:from>
    <xdr:to>
      <xdr:col>16</xdr:col>
      <xdr:colOff>335280</xdr:colOff>
      <xdr:row>26</xdr:row>
      <xdr:rowOff>160020</xdr:rowOff>
    </xdr:to>
    <xdr:sp macro="" textlink="">
      <xdr:nvSpPr>
        <xdr:cNvPr id="3" name="TextBox 2">
          <a:extLst>
            <a:ext uri="{FF2B5EF4-FFF2-40B4-BE49-F238E27FC236}">
              <a16:creationId xmlns:a16="http://schemas.microsoft.com/office/drawing/2014/main" id="{898C388D-666D-4AE0-A98A-24A94F9ECB7E}"/>
            </a:ext>
          </a:extLst>
        </xdr:cNvPr>
        <xdr:cNvSpPr txBox="1"/>
      </xdr:nvSpPr>
      <xdr:spPr>
        <a:xfrm>
          <a:off x="708660" y="4480560"/>
          <a:ext cx="9380220" cy="43434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Times New Roman" panose="02020603050405020304" pitchFamily="18" charset="0"/>
              <a:cs typeface="Times New Roman" panose="02020603050405020304" pitchFamily="18" charset="0"/>
            </a:rPr>
            <a:t>Use an area  chart to track daily changes and highlight day with longer wait</a:t>
          </a:r>
          <a:r>
            <a:rPr lang="en-IN" sz="1600" baseline="0">
              <a:latin typeface="Times New Roman" panose="02020603050405020304" pitchFamily="18" charset="0"/>
              <a:cs typeface="Times New Roman" panose="02020603050405020304" pitchFamily="18" charset="0"/>
            </a:rPr>
            <a:t> times that might need improvement.</a:t>
          </a:r>
          <a:endParaRPr lang="en-IN" sz="1600">
            <a:latin typeface="Times New Roman" panose="02020603050405020304" pitchFamily="18" charset="0"/>
            <a:cs typeface="Times New Roman" panose="02020603050405020304" pitchFamily="18" charset="0"/>
          </a:endParaRPr>
        </a:p>
      </xdr:txBody>
    </xdr:sp>
    <xdr:clientData/>
  </xdr:twoCellAnchor>
  <xdr:twoCellAnchor>
    <xdr:from>
      <xdr:col>0</xdr:col>
      <xdr:colOff>594360</xdr:colOff>
      <xdr:row>1</xdr:row>
      <xdr:rowOff>76200</xdr:rowOff>
    </xdr:from>
    <xdr:to>
      <xdr:col>17</xdr:col>
      <xdr:colOff>15240</xdr:colOff>
      <xdr:row>24</xdr:row>
      <xdr:rowOff>7620</xdr:rowOff>
    </xdr:to>
    <xdr:graphicFrame macro="">
      <xdr:nvGraphicFramePr>
        <xdr:cNvPr id="4" name="Chart 3">
          <a:extLst>
            <a:ext uri="{FF2B5EF4-FFF2-40B4-BE49-F238E27FC236}">
              <a16:creationId xmlns:a16="http://schemas.microsoft.com/office/drawing/2014/main" id="{A51AB2B8-685C-408E-AF8C-32B2AED7C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0.0771</cdr:x>
      <cdr:y>0.1768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42BDCF6-01E9-373E-13D0-E6CD66DE481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754380" cy="73152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amir Raza" refreshedDate="46093.042633333331" createdVersion="5" refreshedVersion="8" minRefreshableVersion="3" recordCount="0" supportSubquery="1" supportAdvancedDrill="1" xr:uid="{424890B7-3DC9-4BC6-A76E-B8B1AE055EDA}">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amir Raza" refreshedDate="46093.042633564815" createdVersion="5" refreshedVersion="8" minRefreshableVersion="3" recordCount="0" supportSubquery="1" supportAdvancedDrill="1" xr:uid="{CD713A4F-C6ED-45E1-B017-848CF92A7038}">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amir Raza" refreshedDate="46093.042634143516" createdVersion="5" refreshedVersion="8" minRefreshableVersion="3" recordCount="0" supportSubquery="1" supportAdvancedDrill="1" xr:uid="{32DD831E-3B1F-4696-98A4-582F1D78EC74}">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amir Raza" refreshedDate="46093.042634490739" createdVersion="5" refreshedVersion="8" minRefreshableVersion="3" recordCount="0" supportSubquery="1" supportAdvancedDrill="1" xr:uid="{12DF4A3A-FC9A-4824-8AAE-6193B22E6B87}">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amir Raza" refreshedDate="46093.042634606485" createdVersion="5" refreshedVersion="8" minRefreshableVersion="3" recordCount="0" supportSubquery="1" supportAdvancedDrill="1" xr:uid="{6035F5E8-9032-4C57-A684-14D770468743}">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amir Raza" refreshedDate="46093.042634837962" createdVersion="5" refreshedVersion="8" minRefreshableVersion="3" recordCount="0" supportSubquery="1" supportAdvancedDrill="1" xr:uid="{C4C09A57-C07E-418B-95AC-AA0138B7A947}">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amir Raza" refreshedDate="46093.04263541667" createdVersion="5" refreshedVersion="8" minRefreshableVersion="3" recordCount="0" supportSubquery="1" supportAdvancedDrill="1" xr:uid="{0C382640-41CE-44D9-8161-F37748998697}">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amir Raza" refreshedDate="46093.042636111109" createdVersion="5" refreshedVersion="8" minRefreshableVersion="3" recordCount="0" supportSubquery="1" supportAdvancedDrill="1" xr:uid="{C0589CD1-7EC3-485D-AD06-23DE4996CA42}">
  <cacheSource type="external" connectionId="3"/>
  <cacheFields count="4">
    <cacheField name="[Calendar_Table].[Date (Day)].[Date (Day)]" caption="Date (Day)" numFmtId="0" hierarchy="2" level="1">
      <sharedItems count="61">
        <s v="1-Sep"/>
        <s v="2-Sep"/>
        <s v="3-Sep"/>
        <s v="4-Sep"/>
        <s v="5-Sep"/>
        <s v="6-Sep"/>
        <s v="7-Sep"/>
        <s v="8-Sep"/>
        <s v="9-Sep"/>
        <s v="10-Sep"/>
        <s v="11-Sep"/>
        <s v="12-Sep"/>
        <s v="13-Sep"/>
        <s v="14-Sep"/>
        <s v="15-Sep"/>
        <s v="16-Sep"/>
        <s v="17-Sep"/>
        <s v="18-Sep"/>
        <s v="19-Sep"/>
        <s v="20-Sep"/>
        <s v="21-Sep"/>
        <s v="22-Sep"/>
        <s v="23-Sep"/>
        <s v="24-Sep"/>
        <s v="25-Sep"/>
        <s v="26-Sep"/>
        <s v="27-Sep"/>
        <s v="28-Sep"/>
        <s v="29-Sep"/>
        <s v="30-Sep"/>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amir Raza" refreshedDate="46093.042636689817" createdVersion="5" refreshedVersion="8" minRefreshableVersion="3" recordCount="0" supportSubquery="1" supportAdvancedDrill="1" xr:uid="{6EBCC0CE-5AFD-4125-BBF3-DB40425F6BAE}">
  <cacheSource type="external" connectionId="3"/>
  <cacheFields count="4">
    <cacheField name="[Calendar_Table].[Date (Day)].[Date (Day)]" caption="Date (Day)" numFmtId="0" hierarchy="2" level="1">
      <sharedItems count="60">
        <s v="1-Sep"/>
        <s v="2-Sep"/>
        <s v="3-Sep"/>
        <s v="4-Sep"/>
        <s v="5-Sep"/>
        <s v="6-Sep"/>
        <s v="7-Sep"/>
        <s v="8-Sep"/>
        <s v="9-Sep"/>
        <s v="10-Sep"/>
        <s v="11-Sep"/>
        <s v="12-Sep"/>
        <s v="13-Sep"/>
        <s v="14-Sep"/>
        <s v="15-Sep"/>
        <s v="16-Sep"/>
        <s v="17-Sep"/>
        <s v="18-Sep"/>
        <s v="19-Sep"/>
        <s v="20-Sep"/>
        <s v="21-Sep"/>
        <s v="23-Sep"/>
        <s v="24-Sep"/>
        <s v="25-Sep"/>
        <s v="26-Sep"/>
        <s v="27-Sep"/>
        <s v="28-Sep"/>
        <s v="29-Sep"/>
        <s v="30-Sep"/>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amir Raza" refreshedDate="46093.042637268518" createdVersion="5" refreshedVersion="8" minRefreshableVersion="3" recordCount="0" supportSubquery="1" supportAdvancedDrill="1" xr:uid="{CBFFCBEF-CECE-4326-9B8B-122922649FB8}">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amir Raza" refreshedDate="46093.04263773148" createdVersion="5" refreshedVersion="8" minRefreshableVersion="3" recordCount="0" supportSubquery="1" supportAdvancedDrill="1" xr:uid="{7D16D15B-87D2-4531-BA3D-858844012AD1}">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amir Raza" refreshedDate="46093.042638078703" createdVersion="5" refreshedVersion="8" minRefreshableVersion="3" recordCount="0" supportSubquery="1" supportAdvancedDrill="1" xr:uid="{A3A53096-76E9-4960-A652-022E6F65C27F}">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d Aamir Raza" refreshedDate="46092.932322222223" createdVersion="3" refreshedVersion="8" minRefreshableVersion="3" recordCount="0" supportSubquery="1" supportAdvancedDrill="1" xr:uid="{9CD61A78-9F11-4B73-AFB4-FB0700814D40}">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215562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F5B2F1-655C-4A3F-A8DE-A9B1F3C67993}" name="PivotTable12" cacheId="1800" applyNumberFormats="0" applyBorderFormats="0" applyFontFormats="0" applyPatternFormats="0" applyAlignmentFormats="0" applyWidthHeightFormats="1" dataCaption="Values" tag="7e4d86f2-b3ff-4277-8efd-74daeb80d4f6" updatedVersion="8" minRefreshableVersion="3" subtotalHiddenItems="1" itemPrintTitles="1" createdVersion="5" indent="0" outline="1" outlineData="1" multipleFieldFilters="0" chartFormat="99">
  <location ref="P27:Q31" firstHeaderRow="1" firstDataRow="5" firstDataCol="0"/>
  <pivotFields count="4">
    <pivotField axis="axisCol" allDrilled="1" subtotalTop="0" showAll="0" dataSourceSort="1" defaultSubtotal="0">
      <items count="1">
        <item x="0" e="0"/>
      </items>
    </pivotField>
    <pivotField axis="axisCol"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Col" allDrilled="1" subtotalTop="0" showAll="0" dataSourceSort="1" defaultSubtotal="0">
      <items count="1">
        <item x="0" e="0"/>
      </items>
    </pivotField>
    <pivotField axis="axisCol" allDrilled="1" subtotalTop="0" showAll="0" dataSourceSort="1" defaultSubtotal="0">
      <items count="1">
        <item s="1" x="0" e="0"/>
      </items>
    </pivotField>
  </pivotFields>
  <colFields count="4">
    <field x="3"/>
    <field x="2"/>
    <field x="0"/>
    <field x="1"/>
  </colFields>
  <colItems count="2">
    <i>
      <x/>
    </i>
    <i t="grand">
      <x/>
    </i>
  </colItems>
  <formats count="1">
    <format dxfId="411">
      <pivotArea grandRow="1" outline="0" collapsedLevelsAreSubtotals="1" fieldPosition="0"/>
    </format>
  </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4">
    <colHierarchyUsage hierarchyUsage="3"/>
    <colHierarchyUsage hierarchyUsage="4"/>
    <colHierarchyUsage hierarchyUsage="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487573-9AAA-4605-9D9C-C78315E78B01}" name="PivotTable11" cacheId="1809" applyNumberFormats="0" applyBorderFormats="0" applyFontFormats="0" applyPatternFormats="0" applyAlignmentFormats="0" applyWidthHeightFormats="1" dataCaption="Values" tag="bf26c85a-96f3-47f0-aa8a-b2b01701ecd2" updatedVersion="8" minRefreshableVersion="3" subtotalHiddenItems="1" itemPrintTitles="1" createdVersion="5" indent="0" outline="1" outlineData="1" multipleFieldFilters="0" chartFormat="99">
  <location ref="M28:N3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i>
    <i>
      <x v="3"/>
    </i>
    <i>
      <x v="1"/>
    </i>
    <i>
      <x v="6"/>
    </i>
    <i>
      <x v="5"/>
    </i>
    <i>
      <x v="2"/>
    </i>
    <i>
      <x v="4"/>
    </i>
    <i t="grand">
      <x/>
    </i>
  </rowItems>
  <colItems count="1">
    <i/>
  </colItems>
  <dataFields count="1">
    <dataField name="Count of Department Referral" fld="2" subtotal="count" baseField="0" baseItem="0"/>
  </dataFields>
  <formats count="1">
    <format dxfId="482">
      <pivotArea grandRow="1" outline="0" collapsedLevelsAreSubtotals="1" fieldPosition="0"/>
    </format>
  </formats>
  <chartFormats count="1">
    <chartFormat chart="9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A4A24D-257C-4E70-9E65-73F07191754A}" name="PivotTable10" cacheId="1806" applyNumberFormats="0" applyBorderFormats="0" applyFontFormats="0" applyPatternFormats="0" applyAlignmentFormats="0" applyWidthHeightFormats="1" dataCaption="Values" tag="221ddf19-c174-42cd-875e-0bf6c8f65583" updatedVersion="8" minRefreshableVersion="3" subtotalHiddenItems="1" itemPrintTitles="1" createdVersion="5" indent="0" outline="1" outlineData="1" multipleFieldFilters="0" chartFormat="95">
  <location ref="P22:Q2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483">
      <pivotArea grandRow="1" outline="0" collapsedLevelsAreSubtotals="1" fieldPosition="0"/>
    </format>
  </formats>
  <chartFormats count="3">
    <chartFormat chart="94" format="4" series="1">
      <pivotArea type="data" outline="0" fieldPosition="0">
        <references count="1">
          <reference field="4294967294" count="1" selected="0">
            <x v="0"/>
          </reference>
        </references>
      </pivotArea>
    </chartFormat>
    <chartFormat chart="94" format="5">
      <pivotArea type="data" outline="0" fieldPosition="0">
        <references count="2">
          <reference field="4294967294" count="1" selected="0">
            <x v="0"/>
          </reference>
          <reference field="1" count="1" selected="0">
            <x v="0"/>
          </reference>
        </references>
      </pivotArea>
    </chartFormat>
    <chartFormat chart="9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D592FF-7C1A-4BBB-BB39-C55BC86CC9C5}" name="PivotTable9" cacheId="1833" applyNumberFormats="0" applyBorderFormats="0" applyFontFormats="0" applyPatternFormats="0" applyAlignmentFormats="0" applyWidthHeightFormats="1" dataCaption="Values" tag="944abbf6-f32a-4f56-b3c8-6d722b3723ec" updatedVersion="8" minRefreshableVersion="3" subtotalHiddenItems="1" itemPrintTitles="1" createdVersion="5" indent="0" outline="1" outlineData="1" multipleFieldFilters="0" chartFormat="81">
  <location ref="P16:Q1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484">
      <pivotArea grandRow="1" outline="0" collapsedLevelsAreSubtotals="1" fieldPosition="0"/>
    </format>
  </formats>
  <chartFormats count="3">
    <chartFormat chart="80" format="4" series="1">
      <pivotArea type="data" outline="0" fieldPosition="0">
        <references count="1">
          <reference field="4294967294" count="1" selected="0">
            <x v="0"/>
          </reference>
        </references>
      </pivotArea>
    </chartFormat>
    <chartFormat chart="80" format="5">
      <pivotArea type="data" outline="0" fieldPosition="0">
        <references count="2">
          <reference field="4294967294" count="1" selected="0">
            <x v="0"/>
          </reference>
          <reference field="1" count="1" selected="0">
            <x v="0"/>
          </reference>
        </references>
      </pivotArea>
    </chartFormat>
    <chartFormat chart="80"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A126E6-33A2-4FAD-9526-66C7E29081C4}" name="PivotTable8" cacheId="1830" applyNumberFormats="0" applyBorderFormats="0" applyFontFormats="0" applyPatternFormats="0" applyAlignmentFormats="0" applyWidthHeightFormats="1" dataCaption="Values" tag="7ef18f90-4769-4de3-9841-9369ef481a5f" updatedVersion="8" minRefreshableVersion="3" subtotalHiddenItems="1" itemPrintTitles="1" createdVersion="5" indent="0" outline="1" outlineData="1" multipleFieldFilters="0" chartFormat="76">
  <location ref="M16:N2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485">
      <pivotArea grandRow="1" outline="0" collapsedLevelsAreSubtotals="1" fieldPosition="0"/>
    </format>
  </formats>
  <chartFormats count="1">
    <chartFormat chart="7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00D682-D267-471F-9B35-EDC4E0C68FC8}" name="PivotTable7" cacheId="1827" applyNumberFormats="0" applyBorderFormats="0" applyFontFormats="0" applyPatternFormats="0" applyAlignmentFormats="0" applyWidthHeightFormats="1" dataCaption="Values" tag="0e677fad-1aec-430c-90ff-408245816bd9" updatedVersion="8" minRefreshableVersion="3" subtotalHiddenItems="1" itemPrintTitles="1" createdVersion="5" indent="0" outline="1" outlineData="1" multipleFieldFilters="0" chartFormat="70">
  <location ref="M4:O7" firstHeaderRow="0" firstDataRow="1" firstDataCol="1"/>
  <pivotFields count="5">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487">
      <pivotArea grandRow="1" outline="0" collapsedLevelsAreSubtotals="1" fieldPosition="0"/>
    </format>
    <format dxfId="486">
      <pivotArea outline="0" fieldPosition="0">
        <references count="1">
          <reference field="4294967294" count="1">
            <x v="1"/>
          </reference>
        </references>
      </pivotArea>
    </format>
  </formats>
  <chartFormats count="4">
    <chartFormat chart="69" format="0" series="1">
      <pivotArea type="data" outline="0" fieldPosition="0">
        <references count="1">
          <reference field="4294967294" count="1" selected="0">
            <x v="0"/>
          </reference>
        </references>
      </pivotArea>
    </chartFormat>
    <chartFormat chart="69" format="1" series="1">
      <pivotArea type="data" outline="0" fieldPosition="0">
        <references count="1">
          <reference field="4294967294" count="1" selected="0">
            <x v="1"/>
          </reference>
        </references>
      </pivotArea>
    </chartFormat>
    <chartFormat chart="69" format="2">
      <pivotArea type="data" outline="0" fieldPosition="0">
        <references count="2">
          <reference field="4294967294" count="1" selected="0">
            <x v="0"/>
          </reference>
          <reference field="1" count="1" selected="0">
            <x v="0"/>
          </reference>
        </references>
      </pivotArea>
    </chartFormat>
    <chartFormat chart="69"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B0D061-B2AB-45A0-BA70-33C9DE41CC44}" name="PivotTable6" cacheId="1824" applyNumberFormats="0" applyBorderFormats="0" applyFontFormats="0" applyPatternFormats="0" applyAlignmentFormats="0" applyWidthHeightFormats="1" dataCaption="Values" tag="5011b6c9-55a7-4110-84af-b4b9833eba65" updatedVersion="8" minRefreshableVersion="3" subtotalHiddenItems="1" itemPrintTitles="1" createdVersion="5" indent="0" outline="1" outlineData="1" multipleFieldFilters="0" chartFormat="48">
  <location ref="J4:K34" firstHeaderRow="1" firstDataRow="1" firstDataCol="1"/>
  <pivotFields count="4">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6"/>
  </dataFields>
  <formats count="3">
    <format dxfId="488">
      <pivotArea collapsedLevelsAreSubtotals="1" fieldPosition="0">
        <references count="1">
          <reference field="0" count="1">
            <x v="29"/>
          </reference>
        </references>
      </pivotArea>
    </format>
    <format dxfId="489">
      <pivotArea collapsedLevelsAreSubtotals="1" fieldPosition="0">
        <references count="1">
          <reference field="0" count="30">
            <x v="30"/>
            <x v="31"/>
            <x v="32"/>
            <x v="33"/>
            <x v="34"/>
            <x v="35"/>
            <x v="36"/>
            <x v="37"/>
            <x v="38"/>
            <x v="39"/>
            <x v="40"/>
            <x v="41"/>
            <x v="42"/>
            <x v="43"/>
            <x v="44"/>
            <x v="45"/>
            <x v="46"/>
            <x v="47"/>
            <x v="48"/>
            <x v="49"/>
            <x v="50"/>
            <x v="51"/>
            <x v="52"/>
            <x v="53"/>
            <x v="54"/>
            <x v="55"/>
            <x v="56"/>
            <x v="57"/>
            <x v="58"/>
            <x v="59"/>
          </reference>
        </references>
      </pivotArea>
    </format>
    <format dxfId="490">
      <pivotArea grandRow="1" outline="0" collapsedLevelsAreSubtotals="1" fieldPosition="0"/>
    </format>
  </formats>
  <chartFormats count="2">
    <chartFormat chart="44" format="2"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49FBB7-D556-4744-B444-B1D9AAD32B7D}" name="PivotTable5" cacheId="1821" applyNumberFormats="0" applyBorderFormats="0" applyFontFormats="0" applyPatternFormats="0" applyAlignmentFormats="0" applyWidthHeightFormats="1" dataCaption="Values" tag="82e87717-fc1a-4b54-bbb5-065462dd309f" updatedVersion="8" minRefreshableVersion="3" subtotalHiddenItems="1" itemPrintTitles="1" createdVersion="5" indent="0" outline="1" outlineData="1" multipleFieldFilters="0" chartFormat="40">
  <location ref="G4:H35" firstHeaderRow="1" firstDataRow="1" firstDataCol="1"/>
  <pivotFields count="4">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3">
    <format dxfId="493">
      <pivotArea collapsedLevelsAreSubtotals="1" fieldPosition="0">
        <references count="1">
          <reference field="0" count="1">
            <x v="30"/>
          </reference>
        </references>
      </pivotArea>
    </format>
    <format dxfId="492">
      <pivotArea collapsedLevelsAreSubtotals="1" fieldPosition="0">
        <references count="1">
          <reference field="0" count="30">
            <x v="31"/>
            <x v="32"/>
            <x v="33"/>
            <x v="34"/>
            <x v="35"/>
            <x v="36"/>
            <x v="37"/>
            <x v="38"/>
            <x v="39"/>
            <x v="40"/>
            <x v="41"/>
            <x v="42"/>
            <x v="43"/>
            <x v="44"/>
            <x v="45"/>
            <x v="46"/>
            <x v="47"/>
            <x v="48"/>
            <x v="49"/>
            <x v="50"/>
            <x v="51"/>
            <x v="52"/>
            <x v="53"/>
            <x v="54"/>
            <x v="55"/>
            <x v="56"/>
            <x v="57"/>
            <x v="58"/>
            <x v="59"/>
            <x v="60"/>
          </reference>
        </references>
      </pivotArea>
    </format>
    <format dxfId="491">
      <pivotArea grandRow="1" outline="0" collapsedLevelsAreSubtotals="1" fieldPosition="0"/>
    </format>
  </formats>
  <chartFormats count="2">
    <chartFormat chart="34"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8E9D9E-CC17-4B33-8EC3-91FC786BE4E7}" name="PivotTable4" cacheId="1818" applyNumberFormats="0" applyBorderFormats="0" applyFontFormats="0" applyPatternFormats="0" applyAlignmentFormats="0" applyWidthHeightFormats="1" dataCaption="Values" tag="5097518c-44ac-405b-b5c4-fc87437c426b" updatedVersion="8" minRefreshableVersion="3" subtotalHiddenItems="1" itemPrintTitles="1" createdVersion="5" indent="0" outline="1" outlineData="1" multipleFieldFilters="0" chartFormat="28">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10" format="14"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C501A5-E6B3-49C1-9E8B-B18DC99BD734}" name="PivotTable3" cacheId="1815" applyNumberFormats="0" applyBorderFormats="0" applyFontFormats="0" applyPatternFormats="0" applyAlignmentFormats="0" applyWidthHeightFormats="1" dataCaption="Values" tag="7bc7ed64-2a16-49b6-be2e-b626f1f8be9e" updatedVersion="8" minRefreshableVersion="3"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96">
      <pivotArea outline="0" collapsedLevelsAreSubtotals="1" fieldPosition="0"/>
    </format>
  </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441F17-0DB5-476C-8380-7E821665B78C}" name="PivotTable2" cacheId="1812" applyNumberFormats="0" applyBorderFormats="0" applyFontFormats="0" applyPatternFormats="0" applyAlignmentFormats="0" applyWidthHeightFormats="1" dataCaption="Values" tag="5e3a1934-7c13-4fc0-85cf-301f52e4fbfb" updatedVersion="8" minRefreshableVersion="3"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97">
      <pivotArea outline="0" collapsedLevelsAreSubtotals="1" fieldPosition="0"/>
    </format>
  </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06B0FA-D77A-48A8-972C-72EC676D23D6}" name="PivotTable1" cacheId="1803" applyNumberFormats="0" applyBorderFormats="0" applyFontFormats="0" applyPatternFormats="0" applyAlignmentFormats="0" applyWidthHeightFormats="1" dataCaption="Values" tag="0c14f6d7-78c2-4b0d-9303-c7d50d42081d"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BBA849F-AE73-4CC1-B75A-4E4D12ABE6B7}"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62155623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1320786-8FE7-4AE5-A812-2EF9B0C91954}"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2155623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6E6C44D-B74E-44FE-8296-8B86665DDE6C}" cache="Slicer_Date__Month" caption="Date (Month)" showCaption="0" level="1" style="Hospital Emergency" rowHeight="270000"/>
  <slicer name="Date (Year)" xr10:uid="{AB4061EE-A60C-4F94-9956-F447B2F2C99B}" cache="Slicer_Date__Year" caption="Date (Year)" showCaption="0" level="1" style="Hospital Emergency"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5B88F-5638-4969-AB85-5D2DEF5D6AFA}">
  <dimension ref="A3:Q37"/>
  <sheetViews>
    <sheetView zoomScale="120" zoomScaleNormal="120" workbookViewId="0">
      <selection activeCell="A9" sqref="A9:A10"/>
    </sheetView>
  </sheetViews>
  <sheetFormatPr defaultRowHeight="14.4" x14ac:dyDescent="0.3"/>
  <cols>
    <col min="1" max="1" width="31.77734375" bestFit="1" customWidth="1"/>
    <col min="4" max="5" width="23.33203125" bestFit="1" customWidth="1"/>
    <col min="7" max="7" width="17.21875" customWidth="1"/>
    <col min="8" max="8" width="15.5546875" customWidth="1"/>
    <col min="9" max="9" width="13.6640625" customWidth="1"/>
    <col min="10" max="10" width="12.44140625" bestFit="1" customWidth="1"/>
    <col min="11" max="11" width="31.77734375" bestFit="1" customWidth="1"/>
    <col min="13" max="13" width="17.109375" customWidth="1"/>
    <col min="14" max="14" width="27.5546875" customWidth="1"/>
    <col min="15" max="15" width="22.77734375" customWidth="1"/>
    <col min="16" max="16" width="16.33203125" customWidth="1"/>
    <col min="17" max="17" width="26.6640625" bestFit="1" customWidth="1"/>
  </cols>
  <sheetData>
    <row r="3" spans="1:17" x14ac:dyDescent="0.3">
      <c r="A3" t="s">
        <v>1</v>
      </c>
      <c r="D3" t="s">
        <v>1</v>
      </c>
      <c r="G3" t="s">
        <v>36</v>
      </c>
      <c r="J3" t="s">
        <v>37</v>
      </c>
    </row>
    <row r="4" spans="1:17" x14ac:dyDescent="0.3">
      <c r="A4" t="s">
        <v>0</v>
      </c>
      <c r="D4" s="2" t="s">
        <v>4</v>
      </c>
      <c r="E4" t="s">
        <v>0</v>
      </c>
      <c r="G4" s="2" t="s">
        <v>4</v>
      </c>
      <c r="H4" t="s">
        <v>2</v>
      </c>
      <c r="J4" s="2" t="s">
        <v>4</v>
      </c>
      <c r="K4" t="s">
        <v>3</v>
      </c>
      <c r="M4" s="2" t="s">
        <v>4</v>
      </c>
      <c r="N4" t="s">
        <v>40</v>
      </c>
      <c r="O4" t="s">
        <v>41</v>
      </c>
    </row>
    <row r="5" spans="1:17" x14ac:dyDescent="0.3">
      <c r="A5" s="1">
        <v>466</v>
      </c>
      <c r="D5" s="6" t="s">
        <v>6</v>
      </c>
      <c r="E5" s="1">
        <v>23</v>
      </c>
      <c r="G5" s="6" t="s">
        <v>6</v>
      </c>
      <c r="H5" s="1">
        <v>39.304347826086953</v>
      </c>
      <c r="I5" s="3"/>
      <c r="J5" s="6" t="s">
        <v>6</v>
      </c>
      <c r="K5" s="1">
        <v>4.2857142857142856</v>
      </c>
      <c r="M5" s="6" t="s">
        <v>38</v>
      </c>
      <c r="N5" s="1">
        <v>236</v>
      </c>
      <c r="O5" s="8">
        <v>0.50643776824034337</v>
      </c>
    </row>
    <row r="6" spans="1:17" x14ac:dyDescent="0.3">
      <c r="D6" s="6" t="s">
        <v>7</v>
      </c>
      <c r="E6" s="1">
        <v>17</v>
      </c>
      <c r="G6" s="6" t="s">
        <v>7</v>
      </c>
      <c r="H6" s="1">
        <v>36.941176470588232</v>
      </c>
      <c r="I6" s="3"/>
      <c r="J6" s="6" t="s">
        <v>7</v>
      </c>
      <c r="K6" s="1">
        <v>2.6666666666666665</v>
      </c>
      <c r="M6" s="6" t="s">
        <v>39</v>
      </c>
      <c r="N6" s="1">
        <v>230</v>
      </c>
      <c r="O6" s="8">
        <v>0.49356223175965663</v>
      </c>
    </row>
    <row r="7" spans="1:17" x14ac:dyDescent="0.3">
      <c r="D7" s="6" t="s">
        <v>8</v>
      </c>
      <c r="E7" s="1">
        <v>20</v>
      </c>
      <c r="G7" s="6" t="s">
        <v>8</v>
      </c>
      <c r="H7" s="1">
        <v>35.549999999999997</v>
      </c>
      <c r="I7" s="3"/>
      <c r="J7" s="6" t="s">
        <v>8</v>
      </c>
      <c r="K7" s="1">
        <v>3.8571428571428572</v>
      </c>
      <c r="M7" s="6" t="s">
        <v>5</v>
      </c>
      <c r="N7" s="3">
        <v>466</v>
      </c>
      <c r="O7" s="8">
        <v>1</v>
      </c>
    </row>
    <row r="8" spans="1:17" x14ac:dyDescent="0.3">
      <c r="D8" s="6" t="s">
        <v>9</v>
      </c>
      <c r="E8" s="1">
        <v>16</v>
      </c>
      <c r="G8" s="6" t="s">
        <v>9</v>
      </c>
      <c r="H8" s="1">
        <v>32</v>
      </c>
      <c r="I8" s="3"/>
      <c r="J8" s="6" t="s">
        <v>9</v>
      </c>
      <c r="K8" s="1">
        <v>5.6</v>
      </c>
    </row>
    <row r="9" spans="1:17" x14ac:dyDescent="0.3">
      <c r="A9" t="s">
        <v>2</v>
      </c>
      <c r="D9" s="6" t="s">
        <v>10</v>
      </c>
      <c r="E9" s="1">
        <v>11</v>
      </c>
      <c r="G9" s="6" t="s">
        <v>10</v>
      </c>
      <c r="H9" s="1">
        <v>43.81818181818182</v>
      </c>
      <c r="I9" s="3"/>
      <c r="J9" s="6" t="s">
        <v>10</v>
      </c>
      <c r="K9" s="1">
        <v>7</v>
      </c>
    </row>
    <row r="10" spans="1:17" x14ac:dyDescent="0.3">
      <c r="A10" s="3">
        <v>35.06008583690987</v>
      </c>
      <c r="D10" s="6" t="s">
        <v>11</v>
      </c>
      <c r="E10" s="1">
        <v>17</v>
      </c>
      <c r="G10" s="6" t="s">
        <v>11</v>
      </c>
      <c r="H10" s="1">
        <v>37.823529411764703</v>
      </c>
      <c r="I10" s="3"/>
      <c r="J10" s="6" t="s">
        <v>11</v>
      </c>
      <c r="K10" s="1">
        <v>4</v>
      </c>
    </row>
    <row r="11" spans="1:17" x14ac:dyDescent="0.3">
      <c r="D11" s="6" t="s">
        <v>12</v>
      </c>
      <c r="E11" s="1">
        <v>15</v>
      </c>
      <c r="G11" s="6" t="s">
        <v>12</v>
      </c>
      <c r="H11" s="1">
        <v>37.533333333333331</v>
      </c>
      <c r="I11" s="3"/>
      <c r="J11" s="6" t="s">
        <v>12</v>
      </c>
      <c r="K11" s="1">
        <v>3.2</v>
      </c>
      <c r="M11" s="5" t="s">
        <v>42</v>
      </c>
      <c r="N11" s="5" t="s">
        <v>1</v>
      </c>
      <c r="O11" s="5" t="s">
        <v>43</v>
      </c>
      <c r="P11" s="5"/>
    </row>
    <row r="12" spans="1:17" x14ac:dyDescent="0.3">
      <c r="D12" s="6" t="s">
        <v>13</v>
      </c>
      <c r="E12" s="1">
        <v>17</v>
      </c>
      <c r="G12" s="6" t="s">
        <v>13</v>
      </c>
      <c r="H12" s="1">
        <v>31.588235294117649</v>
      </c>
      <c r="I12" s="3"/>
      <c r="J12" s="6" t="s">
        <v>13</v>
      </c>
      <c r="K12" s="1">
        <v>5.5</v>
      </c>
      <c r="M12" t="str">
        <f>M6</f>
        <v>Not Admitted</v>
      </c>
      <c r="N12">
        <f>N6</f>
        <v>230</v>
      </c>
      <c r="O12" s="8">
        <f>O6</f>
        <v>0.49356223175965663</v>
      </c>
    </row>
    <row r="13" spans="1:17" x14ac:dyDescent="0.3">
      <c r="A13" t="s">
        <v>3</v>
      </c>
      <c r="D13" s="6" t="s">
        <v>14</v>
      </c>
      <c r="E13" s="1">
        <v>17</v>
      </c>
      <c r="G13" s="6" t="s">
        <v>14</v>
      </c>
      <c r="H13" s="1">
        <v>32.647058823529413</v>
      </c>
      <c r="I13" s="3"/>
      <c r="J13" s="6" t="s">
        <v>14</v>
      </c>
      <c r="K13" s="1">
        <v>5</v>
      </c>
      <c r="M13" t="str">
        <f>M5</f>
        <v>Admitted</v>
      </c>
      <c r="N13">
        <f>N5</f>
        <v>236</v>
      </c>
      <c r="O13" s="8">
        <f>O5</f>
        <v>0.50643776824034337</v>
      </c>
    </row>
    <row r="14" spans="1:17" x14ac:dyDescent="0.3">
      <c r="A14" s="3">
        <v>4.9083333333333332</v>
      </c>
      <c r="D14" s="6" t="s">
        <v>15</v>
      </c>
      <c r="E14" s="1">
        <v>13</v>
      </c>
      <c r="G14" s="6" t="s">
        <v>15</v>
      </c>
      <c r="H14" s="1">
        <v>34.846153846153847</v>
      </c>
      <c r="I14" s="3"/>
      <c r="J14" s="6" t="s">
        <v>15</v>
      </c>
      <c r="K14" s="1">
        <v>7</v>
      </c>
    </row>
    <row r="15" spans="1:17" x14ac:dyDescent="0.3">
      <c r="D15" s="6" t="s">
        <v>16</v>
      </c>
      <c r="E15" s="1">
        <v>12</v>
      </c>
      <c r="G15" s="6" t="s">
        <v>16</v>
      </c>
      <c r="H15" s="1">
        <v>36.666666666666664</v>
      </c>
      <c r="I15" s="3"/>
      <c r="J15" s="6" t="s">
        <v>16</v>
      </c>
      <c r="K15" s="1">
        <v>6</v>
      </c>
    </row>
    <row r="16" spans="1:17" x14ac:dyDescent="0.3">
      <c r="D16" s="6" t="s">
        <v>17</v>
      </c>
      <c r="E16" s="1">
        <v>19</v>
      </c>
      <c r="G16" s="6" t="s">
        <v>17</v>
      </c>
      <c r="H16" s="1">
        <v>31.94736842105263</v>
      </c>
      <c r="I16" s="3"/>
      <c r="J16" s="6" t="s">
        <v>17</v>
      </c>
      <c r="K16" s="1">
        <v>6.5</v>
      </c>
      <c r="M16" s="2" t="s">
        <v>4</v>
      </c>
      <c r="N16" t="s">
        <v>52</v>
      </c>
      <c r="P16" s="2" t="s">
        <v>4</v>
      </c>
      <c r="Q16" t="s">
        <v>55</v>
      </c>
    </row>
    <row r="17" spans="4:17" x14ac:dyDescent="0.3">
      <c r="D17" s="6" t="s">
        <v>18</v>
      </c>
      <c r="E17" s="1">
        <v>12</v>
      </c>
      <c r="G17" s="6" t="s">
        <v>18</v>
      </c>
      <c r="H17" s="1">
        <v>37.416666666666664</v>
      </c>
      <c r="I17" s="3"/>
      <c r="J17" s="6" t="s">
        <v>18</v>
      </c>
      <c r="K17" s="1">
        <v>3.5</v>
      </c>
      <c r="M17" s="6" t="s">
        <v>44</v>
      </c>
      <c r="N17" s="1">
        <v>58</v>
      </c>
      <c r="P17" s="6" t="s">
        <v>53</v>
      </c>
      <c r="Q17" s="1">
        <v>278</v>
      </c>
    </row>
    <row r="18" spans="4:17" x14ac:dyDescent="0.3">
      <c r="D18" s="6" t="s">
        <v>19</v>
      </c>
      <c r="E18" s="1">
        <v>15</v>
      </c>
      <c r="G18" s="6" t="s">
        <v>19</v>
      </c>
      <c r="H18" s="1">
        <v>33.4</v>
      </c>
      <c r="I18" s="3"/>
      <c r="J18" s="6" t="s">
        <v>19</v>
      </c>
      <c r="K18" s="1">
        <v>5.4</v>
      </c>
      <c r="M18" s="6" t="s">
        <v>45</v>
      </c>
      <c r="N18" s="1">
        <v>61</v>
      </c>
      <c r="P18" s="6" t="s">
        <v>54</v>
      </c>
      <c r="Q18" s="1">
        <v>188</v>
      </c>
    </row>
    <row r="19" spans="4:17" x14ac:dyDescent="0.3">
      <c r="D19" s="6" t="s">
        <v>20</v>
      </c>
      <c r="E19" s="1">
        <v>18</v>
      </c>
      <c r="G19" s="6" t="s">
        <v>20</v>
      </c>
      <c r="H19" s="1">
        <v>37.944444444444443</v>
      </c>
      <c r="I19" s="3"/>
      <c r="J19" s="6" t="s">
        <v>20</v>
      </c>
      <c r="K19" s="1">
        <v>5</v>
      </c>
      <c r="M19" s="6" t="s">
        <v>46</v>
      </c>
      <c r="N19" s="1">
        <v>64</v>
      </c>
      <c r="P19" s="6" t="s">
        <v>5</v>
      </c>
      <c r="Q19" s="3">
        <v>466</v>
      </c>
    </row>
    <row r="20" spans="4:17" x14ac:dyDescent="0.3">
      <c r="D20" s="6" t="s">
        <v>21</v>
      </c>
      <c r="E20" s="1">
        <v>13</v>
      </c>
      <c r="G20" s="6" t="s">
        <v>21</v>
      </c>
      <c r="H20" s="1">
        <v>32.769230769230766</v>
      </c>
      <c r="I20" s="3"/>
      <c r="J20" s="6" t="s">
        <v>21</v>
      </c>
      <c r="K20" s="1">
        <v>4.4000000000000004</v>
      </c>
      <c r="M20" s="6" t="s">
        <v>47</v>
      </c>
      <c r="N20" s="1">
        <v>64</v>
      </c>
    </row>
    <row r="21" spans="4:17" x14ac:dyDescent="0.3">
      <c r="D21" s="6" t="s">
        <v>22</v>
      </c>
      <c r="E21" s="1">
        <v>22</v>
      </c>
      <c r="G21" s="6" t="s">
        <v>22</v>
      </c>
      <c r="H21" s="1">
        <v>31.863636363636363</v>
      </c>
      <c r="I21" s="3"/>
      <c r="J21" s="6" t="s">
        <v>22</v>
      </c>
      <c r="K21" s="1">
        <v>6.75</v>
      </c>
      <c r="M21" s="6" t="s">
        <v>48</v>
      </c>
      <c r="N21" s="1">
        <v>65</v>
      </c>
    </row>
    <row r="22" spans="4:17" x14ac:dyDescent="0.3">
      <c r="D22" s="6" t="s">
        <v>23</v>
      </c>
      <c r="E22" s="1">
        <v>16</v>
      </c>
      <c r="G22" s="6" t="s">
        <v>23</v>
      </c>
      <c r="H22" s="1">
        <v>37.8125</v>
      </c>
      <c r="I22" s="3"/>
      <c r="J22" s="6" t="s">
        <v>23</v>
      </c>
      <c r="K22" s="1">
        <v>7</v>
      </c>
      <c r="M22" s="6" t="s">
        <v>49</v>
      </c>
      <c r="N22" s="1">
        <v>52</v>
      </c>
      <c r="P22" s="2" t="s">
        <v>4</v>
      </c>
      <c r="Q22" t="s">
        <v>58</v>
      </c>
    </row>
    <row r="23" spans="4:17" x14ac:dyDescent="0.3">
      <c r="D23" s="6" t="s">
        <v>24</v>
      </c>
      <c r="E23" s="1">
        <v>13</v>
      </c>
      <c r="G23" s="6" t="s">
        <v>24</v>
      </c>
      <c r="H23" s="1">
        <v>28.46153846153846</v>
      </c>
      <c r="I23" s="3"/>
      <c r="J23" s="6" t="s">
        <v>24</v>
      </c>
      <c r="K23" s="1">
        <v>4.666666666666667</v>
      </c>
      <c r="M23" s="6" t="s">
        <v>50</v>
      </c>
      <c r="N23" s="1">
        <v>57</v>
      </c>
      <c r="P23" s="6" t="s">
        <v>56</v>
      </c>
      <c r="Q23" s="1">
        <v>237</v>
      </c>
    </row>
    <row r="24" spans="4:17" x14ac:dyDescent="0.3">
      <c r="D24" s="6" t="s">
        <v>25</v>
      </c>
      <c r="E24" s="1">
        <v>14</v>
      </c>
      <c r="G24" s="6" t="s">
        <v>25</v>
      </c>
      <c r="H24" s="1">
        <v>33.571428571428569</v>
      </c>
      <c r="I24" s="3"/>
      <c r="J24" s="6" t="s">
        <v>25</v>
      </c>
      <c r="K24" s="1">
        <v>3</v>
      </c>
      <c r="M24" s="6" t="s">
        <v>51</v>
      </c>
      <c r="N24" s="1">
        <v>45</v>
      </c>
      <c r="P24" s="6" t="s">
        <v>57</v>
      </c>
      <c r="Q24" s="1">
        <v>229</v>
      </c>
    </row>
    <row r="25" spans="4:17" x14ac:dyDescent="0.3">
      <c r="D25" s="6" t="s">
        <v>26</v>
      </c>
      <c r="E25" s="1">
        <v>21</v>
      </c>
      <c r="G25" s="6" t="s">
        <v>26</v>
      </c>
      <c r="H25" s="1">
        <v>35.666666666666664</v>
      </c>
      <c r="I25" s="3"/>
      <c r="J25" s="6" t="s">
        <v>26</v>
      </c>
      <c r="K25" s="1">
        <v>3.4285714285714284</v>
      </c>
      <c r="M25" s="6" t="s">
        <v>5</v>
      </c>
      <c r="N25" s="3">
        <v>466</v>
      </c>
      <c r="P25" s="6" t="s">
        <v>5</v>
      </c>
      <c r="Q25" s="3">
        <v>466</v>
      </c>
    </row>
    <row r="26" spans="4:17" x14ac:dyDescent="0.3">
      <c r="D26" s="6" t="s">
        <v>27</v>
      </c>
      <c r="E26" s="1">
        <v>9</v>
      </c>
      <c r="G26" s="6" t="s">
        <v>27</v>
      </c>
      <c r="H26" s="1">
        <v>27</v>
      </c>
      <c r="I26" s="3"/>
      <c r="J26" s="6" t="s">
        <v>28</v>
      </c>
      <c r="K26" s="1">
        <v>2.3333333333333335</v>
      </c>
    </row>
    <row r="27" spans="4:17" x14ac:dyDescent="0.3">
      <c r="D27" s="6" t="s">
        <v>28</v>
      </c>
      <c r="E27" s="1">
        <v>10</v>
      </c>
      <c r="G27" s="6" t="s">
        <v>28</v>
      </c>
      <c r="H27" s="1">
        <v>42.4</v>
      </c>
      <c r="I27" s="3"/>
      <c r="J27" s="6" t="s">
        <v>29</v>
      </c>
      <c r="K27" s="1">
        <v>6</v>
      </c>
      <c r="P27" s="2" t="s">
        <v>68</v>
      </c>
    </row>
    <row r="28" spans="4:17" x14ac:dyDescent="0.3">
      <c r="D28" s="6" t="s">
        <v>29</v>
      </c>
      <c r="E28" s="1">
        <v>15</v>
      </c>
      <c r="G28" s="6" t="s">
        <v>29</v>
      </c>
      <c r="H28" s="1">
        <v>37.333333333333336</v>
      </c>
      <c r="I28" s="3"/>
      <c r="J28" s="6" t="s">
        <v>30</v>
      </c>
      <c r="K28" s="1">
        <v>5.8</v>
      </c>
      <c r="M28" s="2" t="s">
        <v>4</v>
      </c>
      <c r="N28" t="s">
        <v>67</v>
      </c>
      <c r="P28" t="s">
        <v>69</v>
      </c>
      <c r="Q28" t="s">
        <v>5</v>
      </c>
    </row>
    <row r="29" spans="4:17" x14ac:dyDescent="0.3">
      <c r="D29" s="6" t="s">
        <v>30</v>
      </c>
      <c r="E29" s="1">
        <v>15</v>
      </c>
      <c r="G29" s="6" t="s">
        <v>30</v>
      </c>
      <c r="H29" s="1">
        <v>34.266666666666666</v>
      </c>
      <c r="I29" s="3"/>
      <c r="J29" s="6" t="s">
        <v>31</v>
      </c>
      <c r="K29" s="1">
        <v>5</v>
      </c>
      <c r="M29" s="6" t="s">
        <v>66</v>
      </c>
      <c r="N29" s="1">
        <v>6</v>
      </c>
    </row>
    <row r="30" spans="4:17" x14ac:dyDescent="0.3">
      <c r="D30" s="6" t="s">
        <v>31</v>
      </c>
      <c r="E30" s="1">
        <v>13</v>
      </c>
      <c r="G30" s="6" t="s">
        <v>31</v>
      </c>
      <c r="H30" s="1">
        <v>34.92307692307692</v>
      </c>
      <c r="I30" s="3"/>
      <c r="J30" s="6" t="s">
        <v>32</v>
      </c>
      <c r="K30" s="1">
        <v>2</v>
      </c>
      <c r="M30" s="6" t="s">
        <v>59</v>
      </c>
      <c r="N30" s="1">
        <v>9</v>
      </c>
    </row>
    <row r="31" spans="4:17" x14ac:dyDescent="0.3">
      <c r="D31" s="6" t="s">
        <v>32</v>
      </c>
      <c r="E31" s="1">
        <v>12</v>
      </c>
      <c r="G31" s="6" t="s">
        <v>32</v>
      </c>
      <c r="H31" s="1">
        <v>33.166666666666664</v>
      </c>
      <c r="I31" s="3"/>
      <c r="J31" s="6" t="s">
        <v>33</v>
      </c>
      <c r="K31" s="1">
        <v>3</v>
      </c>
      <c r="M31" s="6" t="s">
        <v>62</v>
      </c>
      <c r="N31" s="1">
        <v>10</v>
      </c>
    </row>
    <row r="32" spans="4:17" x14ac:dyDescent="0.3">
      <c r="D32" s="6" t="s">
        <v>33</v>
      </c>
      <c r="E32" s="1">
        <v>17</v>
      </c>
      <c r="G32" s="6" t="s">
        <v>33</v>
      </c>
      <c r="H32" s="1">
        <v>32.588235294117645</v>
      </c>
      <c r="I32" s="3"/>
      <c r="J32" s="6" t="s">
        <v>34</v>
      </c>
      <c r="K32" s="1">
        <v>8.5</v>
      </c>
      <c r="M32" s="6" t="s">
        <v>60</v>
      </c>
      <c r="N32" s="1">
        <v>11</v>
      </c>
    </row>
    <row r="33" spans="4:14" x14ac:dyDescent="0.3">
      <c r="D33" s="6" t="s">
        <v>34</v>
      </c>
      <c r="E33" s="1">
        <v>17</v>
      </c>
      <c r="G33" s="6" t="s">
        <v>34</v>
      </c>
      <c r="H33" s="1">
        <v>33.294117647058826</v>
      </c>
      <c r="I33" s="3"/>
      <c r="J33" s="6" t="s">
        <v>35</v>
      </c>
      <c r="K33" s="1">
        <v>5.5714285714285712</v>
      </c>
      <c r="M33" s="6" t="s">
        <v>65</v>
      </c>
      <c r="N33" s="1">
        <v>12</v>
      </c>
    </row>
    <row r="34" spans="4:14" x14ac:dyDescent="0.3">
      <c r="D34" s="6" t="s">
        <v>35</v>
      </c>
      <c r="E34" s="1">
        <v>17</v>
      </c>
      <c r="G34" s="6" t="s">
        <v>35</v>
      </c>
      <c r="H34" s="1">
        <v>37.411764705882355</v>
      </c>
      <c r="I34" s="3"/>
      <c r="J34" s="6" t="s">
        <v>5</v>
      </c>
      <c r="K34" s="3">
        <v>4.9083333333333332</v>
      </c>
      <c r="M34" s="6" t="s">
        <v>64</v>
      </c>
      <c r="N34" s="1">
        <v>47</v>
      </c>
    </row>
    <row r="35" spans="4:14" x14ac:dyDescent="0.3">
      <c r="D35" s="6" t="s">
        <v>5</v>
      </c>
      <c r="E35" s="1">
        <v>466</v>
      </c>
      <c r="G35" s="6" t="s">
        <v>5</v>
      </c>
      <c r="H35" s="3">
        <v>35.06008583690987</v>
      </c>
      <c r="I35" s="3"/>
      <c r="M35" s="6" t="s">
        <v>61</v>
      </c>
      <c r="N35" s="1">
        <v>98</v>
      </c>
    </row>
    <row r="36" spans="4:14" x14ac:dyDescent="0.3">
      <c r="I36" s="3"/>
      <c r="M36" s="6" t="s">
        <v>63</v>
      </c>
      <c r="N36" s="1">
        <v>273</v>
      </c>
    </row>
    <row r="37" spans="4:14" x14ac:dyDescent="0.3">
      <c r="M37" s="6" t="s">
        <v>5</v>
      </c>
      <c r="N37" s="3">
        <v>466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5E64E-5048-465E-8903-52671552468B}">
  <dimension ref="A1"/>
  <sheetViews>
    <sheetView tabSelected="1" workbookViewId="0">
      <selection activeCell="S31" sqref="S31"/>
    </sheetView>
  </sheetViews>
  <sheetFormatPr defaultRowHeight="14.4" x14ac:dyDescent="0.3"/>
  <cols>
    <col min="1" max="16384" width="8.88671875" style="4"/>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A43BB-0809-4EA6-96B4-0781D88D058F}">
  <dimension ref="A1"/>
  <sheetViews>
    <sheetView workbookViewId="0"/>
  </sheetViews>
  <sheetFormatPr defaultRowHeight="14.4" x14ac:dyDescent="0.3"/>
  <cols>
    <col min="1" max="16384" width="8.88671875" style="7"/>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B3426-5A76-458C-8158-A7712A765DCF}">
  <dimension ref="A1"/>
  <sheetViews>
    <sheetView workbookViewId="0">
      <selection activeCell="D1" sqref="D1"/>
    </sheetView>
  </sheetViews>
  <sheetFormatPr defaultRowHeight="14.4" x14ac:dyDescent="0.3"/>
  <cols>
    <col min="1" max="16384" width="8.88671875" style="7"/>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D4C52-EF5A-46B3-B73E-7DD89E963ADC}">
  <dimension ref="A1"/>
  <sheetViews>
    <sheetView workbookViewId="0">
      <selection activeCell="A5" sqref="A5"/>
    </sheetView>
  </sheetViews>
  <sheetFormatPr defaultRowHeight="14.4" x14ac:dyDescent="0.3"/>
  <cols>
    <col min="1" max="16384" width="8.88671875" style="7"/>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92323DD-C14F-4BA5-9BCD-05304ED6C3AD}">
  <ds:schemaRefs/>
</ds:datastoreItem>
</file>

<file path=customXml/itemProps2.xml><?xml version="1.0" encoding="utf-8"?>
<ds:datastoreItem xmlns:ds="http://schemas.openxmlformats.org/officeDocument/2006/customXml" ds:itemID="{72E50845-8357-4A12-8FDC-F29E6CAEFB16}">
  <ds:schemaRefs/>
</ds:datastoreItem>
</file>

<file path=customXml/itemProps3.xml><?xml version="1.0" encoding="utf-8"?>
<ds:datastoreItem xmlns:ds="http://schemas.openxmlformats.org/officeDocument/2006/customXml" ds:itemID="{08E0AB4B-481D-4813-9DC0-DBF7111431C5}">
  <ds:schemaRefs/>
</ds:datastoreItem>
</file>

<file path=customXml/itemProps4.xml><?xml version="1.0" encoding="utf-8"?>
<ds:datastoreItem xmlns:ds="http://schemas.openxmlformats.org/officeDocument/2006/customXml" ds:itemID="{AD5384B3-3726-4324-A0C9-1F652C07492A}">
  <ds:schemaRefs/>
</ds:datastoreItem>
</file>

<file path=customXml/itemProps5.xml><?xml version="1.0" encoding="utf-8"?>
<ds:datastoreItem xmlns:ds="http://schemas.openxmlformats.org/officeDocument/2006/customXml" ds:itemID="{8DA0169E-F763-482B-A3FB-810F925EB50A}">
  <ds:schemaRefs/>
</ds:datastoreItem>
</file>

<file path=customXml/itemProps6.xml><?xml version="1.0" encoding="utf-8"?>
<ds:datastoreItem xmlns:ds="http://schemas.openxmlformats.org/officeDocument/2006/customXml" ds:itemID="{C53CD5C3-4FC5-4EE5-B200-D5638A75E318}">
  <ds:schemaRefs/>
</ds:datastoreItem>
</file>

<file path=customXml/itemProps7.xml><?xml version="1.0" encoding="utf-8"?>
<ds:datastoreItem xmlns:ds="http://schemas.openxmlformats.org/officeDocument/2006/customXml" ds:itemID="{8E125039-7ED3-469C-86F3-AA1772B672A2}">
  <ds:schemaRefs/>
</ds:datastoreItem>
</file>

<file path=customXml/itemProps8.xml><?xml version="1.0" encoding="utf-8"?>
<ds:datastoreItem xmlns:ds="http://schemas.openxmlformats.org/officeDocument/2006/customXml" ds:itemID="{67876304-5A7C-4269-B559-D344025A7E67}">
  <ds:schemaRefs/>
</ds:datastoreItem>
</file>

<file path=customXml/itemProps9.xml><?xml version="1.0" encoding="utf-8"?>
<ds:datastoreItem xmlns:ds="http://schemas.openxmlformats.org/officeDocument/2006/customXml" ds:itemID="{EFAF595E-B8B6-4F37-BAAB-681FC121D491}">
  <ds:schemaRefs/>
</ds:datastoreItem>
</file>

<file path=customXml/itemProps10.xml><?xml version="1.0" encoding="utf-8"?>
<ds:datastoreItem xmlns:ds="http://schemas.openxmlformats.org/officeDocument/2006/customXml" ds:itemID="{D3328144-7B6B-42DE-A5B7-8F70E1EC87E5}">
  <ds:schemaRefs/>
</ds:datastoreItem>
</file>

<file path=customXml/itemProps11.xml><?xml version="1.0" encoding="utf-8"?>
<ds:datastoreItem xmlns:ds="http://schemas.openxmlformats.org/officeDocument/2006/customXml" ds:itemID="{BD2990A6-79BD-46DE-922A-1E91B8D3DD3B}">
  <ds:schemaRefs/>
</ds:datastoreItem>
</file>

<file path=customXml/itemProps12.xml><?xml version="1.0" encoding="utf-8"?>
<ds:datastoreItem xmlns:ds="http://schemas.openxmlformats.org/officeDocument/2006/customXml" ds:itemID="{E044F267-93DC-43CA-B0D8-CF7516286DF6}">
  <ds:schemaRefs/>
</ds:datastoreItem>
</file>

<file path=customXml/itemProps13.xml><?xml version="1.0" encoding="utf-8"?>
<ds:datastoreItem xmlns:ds="http://schemas.openxmlformats.org/officeDocument/2006/customXml" ds:itemID="{C1CC1D88-1205-4781-BCC6-A860E0B0E22F}">
  <ds:schemaRefs>
    <ds:schemaRef ds:uri="http://schemas.microsoft.com/DataMashup"/>
  </ds:schemaRefs>
</ds:datastoreItem>
</file>

<file path=customXml/itemProps14.xml><?xml version="1.0" encoding="utf-8"?>
<ds:datastoreItem xmlns:ds="http://schemas.openxmlformats.org/officeDocument/2006/customXml" ds:itemID="{2B97892E-EC25-49F9-9FC3-0ED08A908C62}">
  <ds:schemaRefs/>
</ds:datastoreItem>
</file>

<file path=customXml/itemProps15.xml><?xml version="1.0" encoding="utf-8"?>
<ds:datastoreItem xmlns:ds="http://schemas.openxmlformats.org/officeDocument/2006/customXml" ds:itemID="{9D16ED23-C75C-47D7-838C-45E73163BE94}">
  <ds:schemaRefs/>
</ds:datastoreItem>
</file>

<file path=customXml/itemProps16.xml><?xml version="1.0" encoding="utf-8"?>
<ds:datastoreItem xmlns:ds="http://schemas.openxmlformats.org/officeDocument/2006/customXml" ds:itemID="{CC157084-7F8D-40A8-A519-9CB4C54FCA1B}">
  <ds:schemaRefs/>
</ds:datastoreItem>
</file>

<file path=customXml/itemProps17.xml><?xml version="1.0" encoding="utf-8"?>
<ds:datastoreItem xmlns:ds="http://schemas.openxmlformats.org/officeDocument/2006/customXml" ds:itemID="{43FA5202-1ED3-45B1-8819-BDA4D79D5A17}">
  <ds:schemaRefs/>
</ds:datastoreItem>
</file>

<file path=customXml/itemProps18.xml><?xml version="1.0" encoding="utf-8"?>
<ds:datastoreItem xmlns:ds="http://schemas.openxmlformats.org/officeDocument/2006/customXml" ds:itemID="{B71DE0D9-6B59-4422-BE77-5F779FE03E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Daily ER No of Patient</vt:lpstr>
      <vt:lpstr>Average wait time daily trend</vt:lpstr>
      <vt:lpstr>Satisfication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Aamir Raza</dc:creator>
  <cp:lastModifiedBy>Md Aamir Raza</cp:lastModifiedBy>
  <dcterms:created xsi:type="dcterms:W3CDTF">2026-03-11T06:25:04Z</dcterms:created>
  <dcterms:modified xsi:type="dcterms:W3CDTF">2026-03-11T19:52:17Z</dcterms:modified>
</cp:coreProperties>
</file>